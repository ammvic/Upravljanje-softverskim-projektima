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filterPrivacy="1" showInkAnnotation="0" codeName="ThisWorkbook" defaultThemeVersion="124226"/>
  <xr:revisionPtr revIDLastSave="0" documentId="13_ncr:1_{2E1DCFD0-A618-4E66-A031-FF3EEB2569BC}" xr6:coauthVersionLast="47" xr6:coauthVersionMax="47" xr10:uidLastSave="{00000000-0000-0000-0000-000000000000}"/>
  <workbookProtection lockStructure="1"/>
  <bookViews>
    <workbookView xWindow="-120" yWindow="-120" windowWidth="20730" windowHeight="11160" tabRatio="684" firstSheet="2" activeTab="6"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Stay'!$A$1:$S$19</definedName>
    <definedName name="_xlnm.Print_Area" localSheetId="2">'1. Staff costs'!$A$1:$U$19</definedName>
    <definedName name="_xlnm.Print_Area" localSheetId="4">'4. Equipment Costs'!$A$1:$J$19</definedName>
    <definedName name="_xlnm.Print_Area" localSheetId="5">'5. Subcontracting Costs'!$A$1:$J$19</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Stay'!$19:$1048576,' 2-3-6. Travel&amp;Costs of Stay'!#REF!</definedName>
    <definedName name="Z_D7932BCF_3472_4742_BE90_75070A4D3346_.wvu.Rows" localSheetId="2" hidden="1">'1. Staff costs'!$19:$1048576,'1. Staff costs'!#REF!</definedName>
    <definedName name="Z_D7932BCF_3472_4742_BE90_75070A4D3346_.wvu.Rows" localSheetId="4" hidden="1">'4. Equipment Costs'!$19:$1048576,'4. Equipment Costs'!#REF!</definedName>
    <definedName name="Z_D7932BCF_3472_4742_BE90_75070A4D3346_.wvu.Rows" localSheetId="5" hidden="1">'5. Subcontracting Costs'!$19:$1048576,'5.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9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8" i="26" l="1"/>
  <c r="D18" i="26"/>
  <c r="I18" i="26" l="1"/>
  <c r="H18" i="26" s="1"/>
  <c r="D16" i="71"/>
  <c r="C16" i="71"/>
  <c r="D15" i="71"/>
  <c r="C15" i="71"/>
  <c r="E18" i="70"/>
  <c r="D18" i="70"/>
  <c r="E17" i="70"/>
  <c r="D17" i="70"/>
  <c r="E16" i="70"/>
  <c r="D16" i="70"/>
  <c r="E15" i="70"/>
  <c r="D15" i="70"/>
  <c r="E17" i="26"/>
  <c r="D17" i="26"/>
  <c r="E16" i="26"/>
  <c r="D16" i="26"/>
  <c r="E15" i="26"/>
  <c r="D15" i="26"/>
  <c r="N18" i="39"/>
  <c r="E18" i="39"/>
  <c r="D18" i="39"/>
  <c r="N17" i="39"/>
  <c r="E17" i="39"/>
  <c r="D17" i="39"/>
  <c r="N16" i="39"/>
  <c r="E16" i="39"/>
  <c r="D16" i="39"/>
  <c r="N15" i="39"/>
  <c r="E15" i="39"/>
  <c r="D15" i="39"/>
  <c r="E18" i="40"/>
  <c r="D18" i="40"/>
  <c r="E17" i="40"/>
  <c r="D17" i="40"/>
  <c r="E16" i="40"/>
  <c r="D16" i="40"/>
  <c r="E15" i="40"/>
  <c r="D15" i="40"/>
  <c r="N13" i="39"/>
  <c r="N14" i="39"/>
  <c r="T15" i="40" l="1"/>
  <c r="R15" i="40" s="1"/>
  <c r="T17" i="40"/>
  <c r="R17" i="40" s="1"/>
  <c r="I15" i="26"/>
  <c r="H15" i="26" s="1"/>
  <c r="I17" i="26"/>
  <c r="H17" i="26" s="1"/>
  <c r="I16" i="70"/>
  <c r="H16" i="70" s="1"/>
  <c r="I18" i="70"/>
  <c r="H18" i="70" s="1"/>
  <c r="J16" i="71"/>
  <c r="I16" i="71" s="1"/>
  <c r="I15" i="70"/>
  <c r="H15" i="70" s="1"/>
  <c r="J15" i="71"/>
  <c r="I15" i="71" s="1"/>
  <c r="I17" i="70"/>
  <c r="H17" i="70" s="1"/>
  <c r="R18" i="39"/>
  <c r="O18" i="39" s="1"/>
  <c r="G31" i="41" s="1"/>
  <c r="T16" i="40"/>
  <c r="R16" i="40" s="1"/>
  <c r="T18" i="40"/>
  <c r="M18" i="40" s="1"/>
  <c r="N18" i="40" s="1"/>
  <c r="I16" i="26"/>
  <c r="H16" i="26" s="1"/>
  <c r="R17" i="39"/>
  <c r="P17" i="39" s="1"/>
  <c r="R16" i="39"/>
  <c r="P16" i="39" s="1"/>
  <c r="R15" i="39"/>
  <c r="P15" i="39" s="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P18" i="39" l="1"/>
  <c r="R18" i="40"/>
  <c r="J18" i="40"/>
  <c r="K18" i="40" s="1"/>
  <c r="G18" i="40"/>
  <c r="H18" i="40" s="1"/>
  <c r="P18" i="40"/>
  <c r="Q18" i="40" s="1"/>
  <c r="O17" i="39"/>
  <c r="G30" i="41" s="1"/>
  <c r="O16" i="39"/>
  <c r="G29" i="41" s="1"/>
  <c r="O15" i="39"/>
  <c r="G32" i="41" s="1"/>
  <c r="Q18" i="39"/>
  <c r="G28" i="41"/>
  <c r="E21" i="41"/>
  <c r="E20" i="41"/>
  <c r="E17" i="41"/>
  <c r="S18" i="40" l="1"/>
  <c r="Q17" i="39"/>
  <c r="Q16" i="39"/>
  <c r="Q15" i="39"/>
  <c r="B6" i="55"/>
  <c r="H6" i="55" s="1"/>
  <c r="B7" i="55"/>
  <c r="H7" i="55" s="1"/>
  <c r="B8" i="55"/>
  <c r="H8" i="55" s="1"/>
  <c r="B9" i="55"/>
  <c r="H9" i="55" s="1"/>
  <c r="B5" i="55"/>
  <c r="G21" i="55"/>
  <c r="F21" i="55"/>
  <c r="E21" i="55"/>
  <c r="D21" i="55"/>
  <c r="C21" i="55"/>
  <c r="O11" i="40" l="1"/>
  <c r="P17" i="40" s="1"/>
  <c r="Q17" i="40" s="1"/>
  <c r="L11" i="40"/>
  <c r="M17" i="40" s="1"/>
  <c r="N17" i="40" s="1"/>
  <c r="I11" i="40"/>
  <c r="J17" i="40" s="1"/>
  <c r="K17" i="40" s="1"/>
  <c r="F11" i="40"/>
  <c r="G17" i="40" s="1"/>
  <c r="H17" i="40" s="1"/>
  <c r="S17" i="40" l="1"/>
  <c r="P15" i="40"/>
  <c r="Q15" i="40" s="1"/>
  <c r="P16" i="40"/>
  <c r="Q16" i="40" s="1"/>
  <c r="G15" i="40"/>
  <c r="H15" i="40" s="1"/>
  <c r="G16" i="40"/>
  <c r="H16" i="40" s="1"/>
  <c r="J15" i="40"/>
  <c r="K15" i="40" s="1"/>
  <c r="J16" i="40"/>
  <c r="K16" i="40" s="1"/>
  <c r="M15" i="40"/>
  <c r="N15" i="40" s="1"/>
  <c r="M16" i="40"/>
  <c r="N16" i="40" s="1"/>
  <c r="G6" i="55"/>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14" i="26" s="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3" i="26"/>
  <c r="D14" i="26"/>
  <c r="D13" i="26"/>
  <c r="E14" i="39"/>
  <c r="E13" i="39"/>
  <c r="D14" i="39"/>
  <c r="D13" i="39"/>
  <c r="E14" i="40"/>
  <c r="E13" i="40"/>
  <c r="D14" i="40"/>
  <c r="D13" i="40"/>
  <c r="E12" i="41"/>
  <c r="E11" i="41"/>
  <c r="E23" i="41"/>
  <c r="G7" i="55"/>
  <c r="G9" i="55"/>
  <c r="F9" i="55"/>
  <c r="E13" i="41"/>
  <c r="F7" i="55"/>
  <c r="S15" i="40" l="1"/>
  <c r="S16" i="40"/>
  <c r="R13" i="39"/>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S14" i="40" l="1"/>
  <c r="C6" i="55" s="1"/>
  <c r="D6" i="40"/>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L34" i="41" s="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L35" i="41" l="1"/>
  <c r="L33" i="41"/>
  <c r="L32" i="41"/>
  <c r="L30" i="41"/>
  <c r="D9" i="40"/>
  <c r="D17" i="41" s="1"/>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<sst xmlns="http://schemas.openxmlformats.org/spreadsheetml/2006/main" count="767" uniqueCount="393">
  <si>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</si>
  <si>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</si>
  <si>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</si>
  <si>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</si>
  <si>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</si>
  <si>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</si>
  <si>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</si>
  <si>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</si>
  <si>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</si>
  <si>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</si>
  <si>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</si>
  <si>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</si>
  <si>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</si>
  <si>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</si>
  <si>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</si>
  <si>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</si>
  <si>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</si>
  <si>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</si>
  <si>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</si>
  <si>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</si>
  <si>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</si>
  <si>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</si>
  <si>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</si>
  <si>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</si>
  <si>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</si>
  <si>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</si>
  <si>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</si>
  <si>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</si>
  <si>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</si>
  <si>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</si>
  <si>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</si>
  <si>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</si>
  <si>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</si>
  <si>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</si>
  <si>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</si>
  <si>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</si>
  <si>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</si>
  <si>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</si>
  <si>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</si>
  <si>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</si>
  <si>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</si>
  <si>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</si>
  <si>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</si>
  <si>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</si>
  <si>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</si>
  <si>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</si>
  <si>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</si>
  <si>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</si>
  <si>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</si>
  <si>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</si>
  <si>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</si>
  <si>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</si>
  <si>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</si>
  <si>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</si>
  <si>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</si>
  <si>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</si>
  <si>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</si>
  <si>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</si>
  <si>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</si>
  <si>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</si>
  <si>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</si>
  <si>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</si>
  <si>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</si>
  <si>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</si>
  <si>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</si>
  <si>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</si>
  <si>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</si>
  <si>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</si>
  <si>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</si>
  <si>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</si>
  <si>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</si>
  <si>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</si>
  <si>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</si>
  <si>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</si>
  <si>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</si>
  <si>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</si>
  <si>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</si>
  <si>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</si>
  <si>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</si>
  <si>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</si>
  <si>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</si>
  <si>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</si>
  <si>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</si>
  <si>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</si>
  <si>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</si>
  <si>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</si>
  <si>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</si>
  <si>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</si>
  <si>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</si>
  <si>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</si>
  <si>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</si>
  <si>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</si>
  <si>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</si>
  <si>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</si>
  <si>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</si>
  <si>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</si>
  <si>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</si>
  <si>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</si>
  <si>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</si>
  <si>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</si>
  <si>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</si>
  <si>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</si>
  <si>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</si>
  <si>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</si>
  <si>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</si>
  <si>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</si>
  <si>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</si>
  <si>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</si>
  <si>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</si>
  <si>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</si>
  <si>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</si>
  <si>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</si>
  <si>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</si>
  <si>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</si>
  <si>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</si>
  <si>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</si>
  <si>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</si>
  <si>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</si>
  <si>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</si>
  <si>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</si>
  <si>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</si>
  <si>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</si>
  <si>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</si>
  <si>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</si>
  <si>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</si>
  <si>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</si>
  <si>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</si>
  <si>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</si>
  <si>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</si>
  <si>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</si>
  <si>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</si>
  <si>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</si>
  <si>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</si>
  <si>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</si>
  <si>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</si>
  <si>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</si>
  <si>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</si>
  <si>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</si>
  <si>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</si>
  <si>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</si>
  <si>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</si>
  <si>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</si>
  <si>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</si>
  <si>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</si>
  <si>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</si>
  <si>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</si>
  <si>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</si>
  <si>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</si>
  <si>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</si>
  <si>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</si>
  <si>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</si>
  <si>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</si>
  <si>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</si>
  <si>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</si>
  <si>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</si>
  <si>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</si>
  <si>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</si>
  <si>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</si>
  <si>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</si>
  <si>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</si>
  <si>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</si>
  <si>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</si>
  <si>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</si>
  <si>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</si>
  <si>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</si>
  <si>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</si>
  <si>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</si>
  <si>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</si>
  <si>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</si>
  <si>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</si>
  <si>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</si>
  <si>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</si>
  <si>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</si>
  <si>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</si>
  <si>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</si>
  <si>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</si>
  <si>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</si>
  <si>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</si>
  <si>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</si>
  <si>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</si>
  <si>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</si>
  <si>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</si>
  <si>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</si>
  <si>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</si>
  <si>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</si>
  <si>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</si>
  <si>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</si>
  <si>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</si>
  <si>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</si>
  <si>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</si>
  <si>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</si>
  <si>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</si>
  <si>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</si>
  <si>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</si>
  <si>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</si>
  <si>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</si>
  <si>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</si>
  <si>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</si>
  <si>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</si>
  <si>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</si>
  <si>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</si>
  <si>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</si>
  <si>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</si>
  <si>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</si>
  <si>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</si>
  <si>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</si>
  <si>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</si>
  <si>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</si>
  <si>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</si>
  <si>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</si>
  <si>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</si>
  <si>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</si>
  <si>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</si>
  <si>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</si>
  <si>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</si>
  <si>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</si>
  <si>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</si>
  <si>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</si>
  <si>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</si>
  <si>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</si>
  <si>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</si>
  <si>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</si>
  <si>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</si>
  <si>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</si>
  <si>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</si>
  <si>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</si>
  <si>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</si>
  <si>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</si>
  <si>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</si>
  <si>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</si>
  <si>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</si>
  <si>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</si>
  <si>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</si>
  <si>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</si>
  <si>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</si>
  <si>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</si>
  <si>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</si>
  <si>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</si>
  <si>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</si>
  <si>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</si>
  <si>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</si>
  <si>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</si>
  <si>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</si>
  <si>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</si>
  <si>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</si>
  <si>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</si>
  <si>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</si>
  <si>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</si>
  <si>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</si>
  <si>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</si>
  <si>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</si>
  <si>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</si>
  <si>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</si>
  <si>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</si>
  <si>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</si>
  <si>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</si>
  <si>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</si>
  <si>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</si>
  <si>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</si>
  <si>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</si>
  <si>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</si>
  <si>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</si>
  <si>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</si>
  <si>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</si>
  <si>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</si>
  <si>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</si>
  <si>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</si>
  <si>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</si>
  <si>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</si>
  <si>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</si>
  <si>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</si>
  <si>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</si>
  <si>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</si>
  <si>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</si>
  <si>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</si>
  <si>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</si>
  <si>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</si>
  <si>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</si>
  <si>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</si>
  <si>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</si>
  <si>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</si>
  <si>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</si>
  <si>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</si>
  <si>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</si>
  <si>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</si>
  <si>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</si>
  <si>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</si>
  <si>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</si>
  <si>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</si>
  <si>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</si>
  <si>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</si>
  <si>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</si>
  <si>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</si>
  <si>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</si>
  <si>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</si>
  <si>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</si>
  <si>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</si>
  <si>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</si>
  <si>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</si>
  <si>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</si>
  <si>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</si>
  <si>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</si>
  <si>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</si>
  <si>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</si>
  <si>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</si>
  <si>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</si>
  <si>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</si>
  <si>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</si>
  <si>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</si>
  <si>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</si>
  <si>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</si>
  <si>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</si>
  <si>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</si>
  <si>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</si>
  <si>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</si>
  <si>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</si>
  <si>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</si>
  <si>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</si>
  <si>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</si>
  <si>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</si>
  <si>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</si>
  <si>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</si>
  <si>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</si>
  <si>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</si>
  <si>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</si>
  <si>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</si>
  <si>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</si>
  <si>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</si>
  <si>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</si>
  <si>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</si>
  <si>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</si>
  <si>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</si>
  <si>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</si>
  <si>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</si>
  <si>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</si>
  <si>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</si>
  <si>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</si>
  <si>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</si>
  <si>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</si>
  <si>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</si>
  <si>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</si>
  <si>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</si>
  <si>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</si>
  <si>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</si>
  <si>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</si>
  <si>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</si>
  <si>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</si>
  <si>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</si>
  <si>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</si>
  <si>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</si>
  <si>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</si>
  <si>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</si>
  <si>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</si>
  <si>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</si>
  <si>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</si>
  <si>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</si>
  <si>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</si>
  <si>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</si>
  <si>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</si>
  <si>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</si>
  <si>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Joint Project</t>
  </si>
  <si>
    <t>Stručna praksa studenata softverskog inženjerstva i poslovne informatike</t>
  </si>
  <si>
    <t>SPSSIPI</t>
  </si>
  <si>
    <t>Univerzitet u Beogradu</t>
  </si>
  <si>
    <t>Univerzitet u Novom Sadu</t>
  </si>
  <si>
    <t>Univerzitet u Nišu</t>
  </si>
  <si>
    <t>Univerzitet u Kragujevcu</t>
  </si>
  <si>
    <t>Nordeus</t>
  </si>
  <si>
    <t>Vega IT</t>
  </si>
  <si>
    <t>Quantox Technology</t>
  </si>
  <si>
    <t>Novi Pazar</t>
  </si>
  <si>
    <t>Beograd</t>
  </si>
  <si>
    <t>Novi Sad</t>
  </si>
  <si>
    <t>Niš</t>
  </si>
  <si>
    <t>Kragujevac</t>
  </si>
  <si>
    <t>Istraživanje tržišta za pripremu projekta</t>
  </si>
  <si>
    <t>Razvoj platforme za e-učenje</t>
  </si>
  <si>
    <t>Eksterna procena kvaliteta</t>
  </si>
  <si>
    <t>Promotivna video produkcija</t>
  </si>
  <si>
    <t>Finansijska revizija</t>
  </si>
  <si>
    <t>Troškovi osoblja</t>
  </si>
  <si>
    <t>Putni troškovi</t>
  </si>
  <si>
    <t>Troškovi boravka</t>
  </si>
  <si>
    <t>Nordeus sopstveni resursi</t>
  </si>
  <si>
    <t>Vega IT sopstveni resursi</t>
  </si>
  <si>
    <t>Interna budžetska alokacija</t>
  </si>
  <si>
    <t>Laptopovi za pripremu</t>
  </si>
  <si>
    <t>Server za razvoj softvera</t>
  </si>
  <si>
    <t>Softver za kontrolu kvaliteta</t>
  </si>
  <si>
    <t>Projektor za prezentacije</t>
  </si>
  <si>
    <t>Softver za upravljanje projektom</t>
  </si>
  <si>
    <t>Intellias</t>
  </si>
  <si>
    <t>GEBRÜDER WEISS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</si>
</sst>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
      <sz val="12"/>
      <color theme="1"/>
      <name val="Inherit"/>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39" fillId="5" borderId="0" xfId="0" applyFont="1" applyFill="1" applyAlignment="1" applyProtection="1">
      <alignment horizontal="left" vertical="center"/>
      <protection locked="0"/>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167">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11" zoomScale="70" zoomScaleNormal="70" zoomScaleSheetLayoutView="85" workbookViewId="0">
      <selection activeCell="C35" sqref="C35"/>
    </sheetView>
  </sheetViews>
  <sheetFormatPr defaultColWidth="9.140625" defaultRowHeight="18"/>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c r="G1" s="3"/>
      <c r="H1" s="3"/>
      <c r="I1" s="3"/>
      <c r="J1" s="3"/>
      <c r="K1" s="3"/>
      <c r="L1" s="3"/>
    </row>
    <row r="2" spans="2:12">
      <c r="B2" s="4"/>
      <c r="C2" s="4"/>
      <c r="D2" s="4"/>
      <c r="E2" s="4"/>
      <c r="F2" s="4"/>
      <c r="G2" s="3"/>
      <c r="H2" s="3"/>
      <c r="I2" s="3"/>
      <c r="J2" s="3"/>
      <c r="K2" s="3"/>
      <c r="L2" s="3"/>
    </row>
    <row r="3" spans="2:12">
      <c r="B3" s="4"/>
      <c r="C3" s="4"/>
      <c r="D3" s="5" t="s">
        <v>133</v>
      </c>
      <c r="E3" s="6"/>
      <c r="F3" s="4"/>
      <c r="G3" s="3"/>
      <c r="H3" s="3"/>
      <c r="I3" s="3"/>
      <c r="J3" s="3"/>
      <c r="K3" s="3"/>
      <c r="L3" s="3"/>
    </row>
    <row r="4" spans="2:12" ht="20.100000000000001" customHeight="1">
      <c r="B4" s="4"/>
      <c r="C4" s="1"/>
      <c r="D4" s="5" t="s">
        <v>311</v>
      </c>
      <c r="E4" s="6"/>
      <c r="F4" s="6"/>
      <c r="G4" s="6"/>
      <c r="H4" s="6"/>
      <c r="I4" s="6"/>
      <c r="J4" s="6"/>
      <c r="K4" s="6"/>
      <c r="L4" s="6"/>
    </row>
    <row r="5" spans="2:12" ht="20.100000000000001" customHeight="1">
      <c r="B5" s="4"/>
      <c r="C5" s="1"/>
      <c r="D5" s="6"/>
      <c r="E5" s="6"/>
      <c r="F5" s="6"/>
      <c r="G5" s="6"/>
      <c r="H5" s="6"/>
      <c r="I5" s="6"/>
      <c r="J5" s="6"/>
      <c r="K5" s="6"/>
      <c r="L5" s="6"/>
    </row>
    <row r="6" spans="2:12" ht="9.9499999999999993" customHeight="1">
      <c r="B6" s="7"/>
      <c r="C6" s="7"/>
      <c r="D6" s="4"/>
      <c r="E6" s="4"/>
      <c r="F6" s="4"/>
      <c r="G6" s="4"/>
      <c r="H6" s="4"/>
      <c r="I6" s="4"/>
      <c r="J6" s="4"/>
      <c r="K6" s="4"/>
    </row>
    <row r="7" spans="2:12" ht="24.95" customHeight="1">
      <c r="B7" s="114" t="s">
        <v>355</v>
      </c>
      <c r="C7" s="114"/>
      <c r="D7" s="114"/>
      <c r="E7" s="114"/>
      <c r="F7" s="114"/>
      <c r="G7" s="114"/>
      <c r="H7" s="114"/>
      <c r="I7" s="114"/>
      <c r="J7" s="114"/>
      <c r="K7" s="114"/>
      <c r="L7" s="114"/>
    </row>
    <row r="8" spans="2:12" ht="24.95" customHeight="1">
      <c r="B8" s="115" t="s">
        <v>356</v>
      </c>
      <c r="C8" s="115"/>
      <c r="D8" s="115"/>
      <c r="E8" s="115"/>
      <c r="F8" s="115"/>
      <c r="G8" s="115"/>
      <c r="H8" s="115"/>
      <c r="I8" s="115"/>
      <c r="J8" s="115"/>
      <c r="K8" s="115"/>
      <c r="L8" s="115"/>
    </row>
    <row r="9" spans="2:12" ht="24.95" customHeight="1">
      <c r="B9" s="116" t="s">
        <v>130</v>
      </c>
      <c r="C9" s="116"/>
      <c r="D9" s="116"/>
      <c r="E9" s="116"/>
      <c r="F9" s="116"/>
      <c r="G9" s="116"/>
      <c r="H9" s="116"/>
      <c r="I9" s="116"/>
      <c r="J9" s="116"/>
      <c r="K9" s="116"/>
      <c r="L9" s="116"/>
    </row>
    <row r="10" spans="2:12" ht="20.100000000000001" customHeight="1">
      <c r="B10" s="7"/>
      <c r="C10" s="7"/>
      <c r="D10" s="4"/>
      <c r="E10" s="4"/>
      <c r="F10" s="4"/>
      <c r="G10" s="4"/>
      <c r="H10" s="4"/>
      <c r="I10" s="4"/>
      <c r="J10" s="4"/>
      <c r="K10" s="4"/>
    </row>
    <row r="11" spans="2:12" ht="18" customHeight="1">
      <c r="B11" s="105" t="s">
        <v>2</v>
      </c>
      <c r="C11" s="105"/>
      <c r="D11" s="8" t="s">
        <v>360</v>
      </c>
      <c r="E11" s="117" t="str">
        <f>IF(D11="","Please select Action Type",IF(OR(D11="Joint Project",D11="Structural Project"),"","Error Type of Action"))</f>
        <v/>
      </c>
      <c r="F11" s="117"/>
      <c r="G11" s="117"/>
      <c r="H11" s="117"/>
      <c r="I11" s="117"/>
      <c r="J11" s="117"/>
      <c r="K11" s="117"/>
      <c r="L11" s="117"/>
    </row>
    <row r="12" spans="2:12" ht="18" customHeight="1">
      <c r="B12" s="105" t="s">
        <v>136</v>
      </c>
      <c r="C12" s="105"/>
      <c r="D12" s="8">
        <v>24</v>
      </c>
      <c r="E12" s="117" t="str">
        <f>IF(D12="","Please select duration",IF(OR(D12=24,D12=36),"","Error duration"))</f>
        <v/>
      </c>
      <c r="F12" s="117"/>
      <c r="G12" s="117"/>
      <c r="H12" s="117"/>
      <c r="I12" s="117"/>
      <c r="J12" s="117"/>
      <c r="K12" s="117"/>
      <c r="L12" s="117"/>
    </row>
    <row r="13" spans="2:12" ht="18" customHeight="1">
      <c r="B13" s="105" t="s">
        <v>169</v>
      </c>
      <c r="C13" s="105"/>
      <c r="D13" s="8" t="s">
        <v>362</v>
      </c>
      <c r="E13" s="117" t="str">
        <f>IF(D13="","Please fill in Project Acronym","")</f>
        <v/>
      </c>
      <c r="F13" s="117"/>
      <c r="G13" s="117"/>
      <c r="H13" s="117"/>
      <c r="I13" s="117"/>
      <c r="J13" s="117"/>
      <c r="K13" s="117"/>
      <c r="L13" s="117"/>
    </row>
    <row r="14" spans="2:12" ht="18" customHeight="1">
      <c r="B14" s="105" t="s">
        <v>170</v>
      </c>
      <c r="C14" s="105"/>
      <c r="D14" s="118" t="s">
        <v>361</v>
      </c>
      <c r="E14" s="119"/>
      <c r="F14" s="119"/>
      <c r="G14" s="119"/>
      <c r="H14" s="119"/>
      <c r="I14" s="119"/>
      <c r="J14" s="119"/>
      <c r="K14" s="119"/>
      <c r="L14" s="120"/>
    </row>
    <row r="15" spans="2:12" ht="20.100000000000001" customHeight="1">
      <c r="B15" s="4"/>
      <c r="C15" s="4"/>
      <c r="D15" s="4"/>
      <c r="E15" s="4"/>
      <c r="F15" s="4"/>
      <c r="G15" s="4"/>
      <c r="H15" s="4"/>
      <c r="I15" s="4"/>
      <c r="J15" s="4"/>
      <c r="K15" s="4"/>
    </row>
    <row r="16" spans="2:12" ht="24.95" customHeight="1">
      <c r="B16" s="104" t="s">
        <v>222</v>
      </c>
      <c r="C16" s="104"/>
      <c r="D16" s="104"/>
      <c r="E16" s="104"/>
      <c r="F16" s="104"/>
      <c r="G16" s="104"/>
      <c r="H16" s="104"/>
      <c r="I16" s="104"/>
      <c r="J16" s="104"/>
      <c r="K16" s="104"/>
      <c r="L16" s="104"/>
    </row>
    <row r="17" spans="2:12">
      <c r="B17" s="105" t="s">
        <v>166</v>
      </c>
      <c r="C17" s="105"/>
      <c r="D17" s="9">
        <f>'1. Staff costs'!D9</f>
        <v>48353</v>
      </c>
      <c r="E17" s="102" t="str">
        <f>"Cannot exceed 40% of total Grant requested"</f>
        <v>Cannot exceed 40% of total Grant requested</v>
      </c>
      <c r="F17" s="103"/>
      <c r="G17" s="103"/>
      <c r="H17" s="103"/>
      <c r="I17" s="100" t="str">
        <f>IF(COUNTIF('1. Staff costs'!T:T,"Error")&lt;=1,"","Please check data in Tab '1. Staff Costs'")</f>
        <v/>
      </c>
      <c r="J17" s="100"/>
      <c r="K17" s="100"/>
      <c r="L17" s="101"/>
    </row>
    <row r="18" spans="2:12">
      <c r="B18" s="105" t="s">
        <v>341</v>
      </c>
      <c r="C18" s="105"/>
      <c r="D18" s="9">
        <f>' 2-3-6. Travel&amp;Costs of Stay'!D8</f>
        <v>30190</v>
      </c>
      <c r="E18" s="102"/>
      <c r="F18" s="103"/>
      <c r="G18" s="103"/>
      <c r="H18" s="103"/>
      <c r="I18" s="100" t="str">
        <f>IF(COUNTIF(' 2-3-6. Travel&amp;Costs of Stay'!R:R,"Error")&lt;=1,"","Please check data in Tab '2-3-6. Travel&amp;Costs of Stay'")</f>
        <v/>
      </c>
      <c r="J18" s="100"/>
      <c r="K18" s="100"/>
      <c r="L18" s="101"/>
    </row>
    <row r="19" spans="2:12">
      <c r="B19" s="105" t="s">
        <v>187</v>
      </c>
      <c r="C19" s="105"/>
      <c r="D19" s="9">
        <f>' 2-3-6. Travel&amp;Costs of Stay'!D9</f>
        <v>363400</v>
      </c>
      <c r="E19" s="112"/>
      <c r="F19" s="113"/>
      <c r="G19" s="113"/>
      <c r="H19" s="113"/>
      <c r="I19" s="100" t="str">
        <f>IF(COUNTIF(' 2-3-6. Travel&amp;Costs of Stay'!R:R,"Error")&lt;=1,"","Please check data in Tab '2-3-6. Travel&amp;Costs of Stay'")</f>
        <v/>
      </c>
      <c r="J19" s="100"/>
      <c r="K19" s="100"/>
      <c r="L19" s="101"/>
    </row>
    <row r="20" spans="2:12">
      <c r="B20" s="105" t="s">
        <v>185</v>
      </c>
      <c r="C20" s="105"/>
      <c r="D20" s="9">
        <f>'4. Equipment Costs'!C4</f>
        <v>43000</v>
      </c>
      <c r="E20" s="102" t="str">
        <f>"Cannot exceed 30% of Total Grant requested"</f>
        <v>Cannot exceed 30% of Total Grant requested</v>
      </c>
      <c r="F20" s="103"/>
      <c r="G20" s="103"/>
      <c r="H20" s="103"/>
      <c r="I20" s="100" t="str">
        <f>IF(COUNTIF('4. Equipment Costs'!I:I,"Error")&lt;=1,"","Please check data in Tab '4. Equipment Costs''")</f>
        <v/>
      </c>
      <c r="J20" s="100"/>
      <c r="K20" s="100"/>
      <c r="L20" s="101"/>
    </row>
    <row r="21" spans="2:12">
      <c r="B21" s="105" t="s">
        <v>186</v>
      </c>
      <c r="C21" s="105"/>
      <c r="D21" s="9">
        <f>'5. Subcontracting Costs'!C4</f>
        <v>18841.7</v>
      </c>
      <c r="E21" s="102" t="str">
        <f>"Cannot exceed 10% of Total Grant requested"</f>
        <v>Cannot exceed 10% of Total Grant requested</v>
      </c>
      <c r="F21" s="103"/>
      <c r="G21" s="103"/>
      <c r="H21" s="103"/>
      <c r="I21" s="100" t="str">
        <f>IF(COUNTIF('5. Subcontracting Costs'!I:I,"Error")&lt;=1,"","Please check data in Tab '5. Subcontracting Costs'")</f>
        <v/>
      </c>
      <c r="J21" s="100"/>
      <c r="K21" s="100"/>
      <c r="L21" s="101"/>
    </row>
    <row r="22" spans="2:12">
      <c r="B22" s="105" t="s">
        <v>340</v>
      </c>
      <c r="C22" s="105"/>
      <c r="D22" s="9">
        <f>IF(OR(C27="",D27=""),0,' 2-3-6. Travel&amp;Costs of Stay'!D10)</f>
        <v>0</v>
      </c>
      <c r="E22" s="102"/>
      <c r="F22" s="103"/>
      <c r="G22" s="103"/>
      <c r="H22" s="103"/>
      <c r="I22" s="100" t="str">
        <f>IF(COUNTIF(' 2-3-6. Travel&amp;Costs of Stay'!R:R,"Error")&lt;=1,"","Please check data in Tab '2-3-6. Travel&amp;Costs of Stay'")</f>
        <v/>
      </c>
      <c r="J22" s="100"/>
      <c r="K22" s="100"/>
      <c r="L22" s="101"/>
    </row>
    <row r="23" spans="2:12" ht="24.95" customHeight="1">
      <c r="B23" s="106" t="s">
        <v>332</v>
      </c>
      <c r="C23" s="107"/>
      <c r="D23" s="10">
        <f>SUM(D17:D22)</f>
        <v>503784.7</v>
      </c>
      <c r="E23" s="108" t="str">
        <f>"Should be equal or above EUR 500.000,00 and cannot exceed EUR 1.000.000,00"</f>
        <v>Should be equal or above EUR 500.000,00 and cannot exceed EUR 1.000.000,00</v>
      </c>
      <c r="F23" s="109"/>
      <c r="G23" s="109"/>
      <c r="H23" s="109"/>
      <c r="I23" s="110" t="str">
        <f>IF(OR(COUNTIF('Co-financing'!J:J,"Error")&lt;=1,AND('Co-financing'!B14="",'Co-financing'!E14="",'Co-financing'!F14="",'Co-financing'!G14="",'Co-financing'!H14=0)),"","Please check data in Tab 'Co-financing'")</f>
        <v/>
      </c>
      <c r="J23" s="110"/>
      <c r="K23" s="110"/>
      <c r="L23" s="111"/>
    </row>
    <row r="24" spans="2:12" ht="20.100000000000001" customHeight="1">
      <c r="B24" s="4"/>
      <c r="C24" s="4"/>
      <c r="D24" s="4"/>
      <c r="E24" s="4"/>
      <c r="F24" s="4"/>
      <c r="G24" s="4"/>
      <c r="H24" s="4"/>
      <c r="I24" s="4"/>
      <c r="J24" s="4"/>
      <c r="K24" s="4"/>
    </row>
    <row r="25" spans="2:12" ht="24.95" customHeight="1">
      <c r="B25" s="104" t="s">
        <v>179</v>
      </c>
      <c r="C25" s="104"/>
      <c r="D25" s="104"/>
      <c r="E25" s="104"/>
      <c r="F25" s="104"/>
      <c r="G25" s="104"/>
      <c r="H25" s="104"/>
      <c r="I25" s="104"/>
      <c r="J25" s="104"/>
      <c r="K25" s="104"/>
      <c r="L25" s="104"/>
    </row>
    <row r="26" spans="2:12" ht="54">
      <c r="B26" s="46" t="s">
        <v>147</v>
      </c>
      <c r="C26" s="11" t="s">
        <v>148</v>
      </c>
      <c r="D26" s="11" t="s">
        <v>0</v>
      </c>
      <c r="E26" s="12" t="s">
        <v>176</v>
      </c>
      <c r="F26" s="12" t="s">
        <v>191</v>
      </c>
      <c r="G26" s="12" t="s">
        <v>192</v>
      </c>
      <c r="H26" s="12" t="s">
        <v>193</v>
      </c>
      <c r="I26" s="12" t="s">
        <v>194</v>
      </c>
      <c r="J26" s="12" t="s">
        <v>195</v>
      </c>
      <c r="K26" s="12" t="s">
        <v>340</v>
      </c>
      <c r="L26" s="13" t="s">
        <v>308</v>
      </c>
    </row>
    <row r="27" spans="2:12">
      <c r="B27" s="44" t="s">
        <v>8</v>
      </c>
      <c r="C27" s="18" t="s">
        <v>363</v>
      </c>
      <c r="D27" s="14" t="s">
        <v>98</v>
      </c>
      <c r="E27" s="15" t="str">
        <f t="shared" ref="E27:E81" si="0">IFERROR(IF(D27&lt;&gt;"",VLOOKUP(D27,CountryType,2,FALSE),""),"Country not found")</f>
        <v>Programme Countries</v>
      </c>
      <c r="F27" s="16">
        <f>SUMIF('1. Staff costs'!C:C,B27,'1. Staff costs'!S:S)</f>
        <v>8287</v>
      </c>
      <c r="G27" s="16">
        <f>SUMIF(' 2-3-6. Travel&amp;Costs of Stay'!C:C,B27,' 2-3-6. Travel&amp;Costs of Stay'!O:O)</f>
        <v>4500</v>
      </c>
      <c r="H27" s="16">
        <f>SUMIF(' 2-3-6. Travel&amp;Costs of Stay'!C:C,B27,' 2-3-6. Travel&amp;Costs of Stay'!P:P)</f>
        <v>57750</v>
      </c>
      <c r="I27" s="16">
        <f>SUMIF('4. Equipment Costs'!C:C,B27,'4. Equipment Costs'!H:H)</f>
        <v>0</v>
      </c>
      <c r="J27" s="16">
        <f>SUMIF('5. Subcontracting Costs'!C:C,B27,'5. Subcontracting Costs'!H:H)</f>
        <v>5000</v>
      </c>
      <c r="K27" s="16">
        <f>SUMIF(' 2-3-6. Travel&amp;Costs of Stay'!C:C,B27,' 2-3-6. Travel&amp;Costs of Stay'!N:N)</f>
        <v>0</v>
      </c>
      <c r="L27" s="17">
        <f>IF(OR(C27="",D27=""),0,SUM(F27:K27))</f>
        <v>75537</v>
      </c>
    </row>
    <row r="28" spans="2:12">
      <c r="B28" s="44" t="s">
        <v>9</v>
      </c>
      <c r="C28" s="18" t="s">
        <v>364</v>
      </c>
      <c r="D28" s="14" t="s">
        <v>98</v>
      </c>
      <c r="E28" s="15" t="str">
        <f t="shared" si="0"/>
        <v>Programme Countries</v>
      </c>
      <c r="F28" s="16">
        <f>SUMIF('1. Staff costs'!C:C,B28,'1. Staff costs'!S:S)</f>
        <v>0</v>
      </c>
      <c r="G28" s="16">
        <f>SUMIF(' 2-3-6. Travel&amp;Costs of Stay'!C:C,B28,' 2-3-6. Travel&amp;Costs of Stay'!O:O)</f>
        <v>0</v>
      </c>
      <c r="H28" s="16">
        <f>SUMIF(' 2-3-6. Travel&amp;Costs of Stay'!C:C,B28,' 2-3-6. Travel&amp;Costs of Stay'!P:P)</f>
        <v>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0</v>
      </c>
    </row>
    <row r="29" spans="2:12">
      <c r="B29" s="44" t="s">
        <v>10</v>
      </c>
      <c r="C29" s="18" t="s">
        <v>365</v>
      </c>
      <c r="D29" s="14" t="s">
        <v>98</v>
      </c>
      <c r="E29" s="15" t="str">
        <f t="shared" si="0"/>
        <v>Programme Countries</v>
      </c>
      <c r="F29" s="16">
        <f>SUMIF('1. Staff costs'!C:C,B29,'1. Staff costs'!S:S)</f>
        <v>8298</v>
      </c>
      <c r="G29" s="16">
        <f>SUMIF(' 2-3-6. Travel&amp;Costs of Stay'!C:C,B29,' 2-3-6. Travel&amp;Costs of Stay'!O:O)</f>
        <v>7150</v>
      </c>
      <c r="H29" s="16">
        <f>SUMIF(' 2-3-6. Travel&amp;Costs of Stay'!C:C,B29,' 2-3-6. Travel&amp;Costs of Stay'!P:P)</f>
        <v>63700</v>
      </c>
      <c r="I29" s="16">
        <f>SUMIF('4. Equipment Costs'!C:C,B29,'4. Equipment Costs'!H:H)</f>
        <v>0</v>
      </c>
      <c r="J29" s="16">
        <f>SUMIF('5. Subcontracting Costs'!C:C,B29,'5. Subcontracting Costs'!H:H)</f>
        <v>3841.7</v>
      </c>
      <c r="K29" s="16">
        <f>SUMIF(' 2-3-6. Travel&amp;Costs of Stay'!C:C,B29,' 2-3-6. Travel&amp;Costs of Stay'!N:N)</f>
        <v>0</v>
      </c>
      <c r="L29" s="17">
        <f t="shared" si="1"/>
        <v>82989.7</v>
      </c>
    </row>
    <row r="30" spans="2:12">
      <c r="B30" s="44" t="s">
        <v>11</v>
      </c>
      <c r="C30" s="18" t="s">
        <v>366</v>
      </c>
      <c r="D30" s="14" t="s">
        <v>98</v>
      </c>
      <c r="E30" s="15" t="str">
        <f t="shared" si="0"/>
        <v>Programme Countries</v>
      </c>
      <c r="F30" s="16">
        <f>SUMIF('1. Staff costs'!C:C,B30,'1. Staff costs'!S:S)</f>
        <v>11249</v>
      </c>
      <c r="G30" s="16">
        <f>SUMIF(' 2-3-6. Travel&amp;Costs of Stay'!C:C,B30,' 2-3-6. Travel&amp;Costs of Stay'!O:O)</f>
        <v>9000</v>
      </c>
      <c r="H30" s="16">
        <f>SUMIF(' 2-3-6. Travel&amp;Costs of Stay'!C:C,B30,' 2-3-6. Travel&amp;Costs of Stay'!P:P)</f>
        <v>64500</v>
      </c>
      <c r="I30" s="16">
        <f>SUMIF('4. Equipment Costs'!C:C,B30,'4. Equipment Costs'!H:H)</f>
        <v>0</v>
      </c>
      <c r="J30" s="16">
        <f>SUMIF('5. Subcontracting Costs'!C:C,B30,'5. Subcontracting Costs'!H:H)</f>
        <v>3000</v>
      </c>
      <c r="K30" s="16">
        <f>SUMIF(' 2-3-6. Travel&amp;Costs of Stay'!C:C,B30,' 2-3-6. Travel&amp;Costs of Stay'!N:N)</f>
        <v>0</v>
      </c>
      <c r="L30" s="17">
        <f t="shared" si="1"/>
        <v>87749</v>
      </c>
    </row>
    <row r="31" spans="2:12">
      <c r="B31" s="44" t="s">
        <v>12</v>
      </c>
      <c r="C31" s="18" t="s">
        <v>367</v>
      </c>
      <c r="D31" s="14" t="s">
        <v>98</v>
      </c>
      <c r="E31" s="15" t="str">
        <f t="shared" si="0"/>
        <v>Programme Countries</v>
      </c>
      <c r="F31" s="16">
        <f>SUMIF('1. Staff costs'!C:C,B31,'1. Staff costs'!S:S)</f>
        <v>9214</v>
      </c>
      <c r="G31" s="16">
        <f>SUMIF(' 2-3-6. Travel&amp;Costs of Stay'!C:C,B31,' 2-3-6. Travel&amp;Costs of Stay'!O:O)</f>
        <v>4140</v>
      </c>
      <c r="H31" s="16">
        <f>SUMIF(' 2-3-6. Travel&amp;Costs of Stay'!C:C,B31,' 2-3-6. Travel&amp;Costs of Stay'!P:P)</f>
        <v>72450</v>
      </c>
      <c r="I31" s="16">
        <f>SUMIF('4. Equipment Costs'!C:C,B31,'4. Equipment Costs'!H:H)</f>
        <v>0</v>
      </c>
      <c r="J31" s="16">
        <f>SUMIF('5. Subcontracting Costs'!C:C,B31,'5. Subcontracting Costs'!H:H)</f>
        <v>0</v>
      </c>
      <c r="K31" s="16">
        <f>SUMIF(' 2-3-6. Travel&amp;Costs of Stay'!C:C,B31,' 2-3-6. Travel&amp;Costs of Stay'!N:N)</f>
        <v>0</v>
      </c>
      <c r="L31" s="17">
        <f t="shared" si="1"/>
        <v>85804</v>
      </c>
    </row>
    <row r="32" spans="2:12">
      <c r="B32" s="44" t="s">
        <v>13</v>
      </c>
      <c r="C32" s="18" t="s">
        <v>368</v>
      </c>
      <c r="D32" s="14" t="s">
        <v>98</v>
      </c>
      <c r="E32" s="15" t="str">
        <f t="shared" si="0"/>
        <v>Programme Countries</v>
      </c>
      <c r="F32" s="16">
        <f>SUMIF('1. Staff costs'!C:C,B32,'1. Staff costs'!S:S)</f>
        <v>11305</v>
      </c>
      <c r="G32" s="16">
        <f>SUMIF(' 2-3-6. Travel&amp;Costs of Stay'!C:C,B32,' 2-3-6. Travel&amp;Costs of Stay'!O:O)</f>
        <v>5400</v>
      </c>
      <c r="H32" s="16">
        <f>SUMIF(' 2-3-6. Travel&amp;Costs of Stay'!C:C,B32,' 2-3-6. Travel&amp;Costs of Stay'!P:P)</f>
        <v>105000</v>
      </c>
      <c r="I32" s="16">
        <f>SUMIF('4. Equipment Costs'!C:C,B32,'4. Equipment Costs'!H:H)</f>
        <v>0</v>
      </c>
      <c r="J32" s="16">
        <f>SUMIF('5. Subcontracting Costs'!C:C,B32,'5. Subcontracting Costs'!H:H)</f>
        <v>6000</v>
      </c>
      <c r="K32" s="16">
        <f>SUMIF(' 2-3-6. Travel&amp;Costs of Stay'!C:C,B32,' 2-3-6. Travel&amp;Costs of Stay'!N:N)</f>
        <v>0</v>
      </c>
      <c r="L32" s="17">
        <f t="shared" si="1"/>
        <v>127705</v>
      </c>
    </row>
    <row r="33" spans="2:12">
      <c r="B33" s="44" t="s">
        <v>14</v>
      </c>
      <c r="C33" s="18" t="s">
        <v>369</v>
      </c>
      <c r="D33" s="14" t="s">
        <v>98</v>
      </c>
      <c r="E33" s="15" t="str">
        <f t="shared" si="0"/>
        <v>Programme Countries</v>
      </c>
      <c r="F33" s="16">
        <f>SUMIF('1. Staff costs'!C:C,B33,'1. Staff costs'!S:S)</f>
        <v>0</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1000</v>
      </c>
      <c r="K33" s="16">
        <f>SUMIF(' 2-3-6. Travel&amp;Costs of Stay'!C:C,B33,' 2-3-6. Travel&amp;Costs of Stay'!N:N)</f>
        <v>0</v>
      </c>
      <c r="L33" s="17">
        <f t="shared" si="1"/>
        <v>1000</v>
      </c>
    </row>
    <row r="34" spans="2:12">
      <c r="B34" s="44" t="s">
        <v>15</v>
      </c>
      <c r="C34" s="18" t="s">
        <v>391</v>
      </c>
      <c r="D34" s="14" t="s">
        <v>180</v>
      </c>
      <c r="E34" s="15" t="str">
        <f t="shared" si="0"/>
        <v>Partner Countries</v>
      </c>
      <c r="F34" s="16">
        <f>SUMIF('1. Staff costs'!C:C,B34,'1. Staff costs'!S:S)</f>
        <v>0</v>
      </c>
      <c r="G34" s="16">
        <f>SUMIF(' 2-3-6. Travel&amp;Costs of Stay'!C:C,B34,' 2-3-6. Travel&amp;Costs of Stay'!O:O)</f>
        <v>0</v>
      </c>
      <c r="H34" s="16">
        <f>SUMIF(' 2-3-6. Travel&amp;Costs of Stay'!C:C,B34,' 2-3-6. Travel&amp;Costs of Stay'!P:P)</f>
        <v>0</v>
      </c>
      <c r="I34" s="16">
        <f>SUMIF('4. Equipment Costs'!C:C,B34,'4. Equipment Costs'!H:H)</f>
        <v>15000</v>
      </c>
      <c r="J34" s="16">
        <f>SUMIF('5. Subcontracting Costs'!C:C,B34,'5. Subcontracting Costs'!H:H)</f>
        <v>0</v>
      </c>
      <c r="K34" s="16">
        <f>SUMIF(' 2-3-6. Travel&amp;Costs of Stay'!C:C,B34,' 2-3-6. Travel&amp;Costs of Stay'!N:N)</f>
        <v>0</v>
      </c>
      <c r="L34" s="17">
        <f t="shared" si="1"/>
        <v>15000</v>
      </c>
    </row>
    <row r="35" spans="2:12">
      <c r="B35" s="44" t="s">
        <v>16</v>
      </c>
      <c r="C35" s="18" t="s">
        <v>392</v>
      </c>
      <c r="D35" s="14" t="s">
        <v>73</v>
      </c>
      <c r="E35" s="15" t="str">
        <f t="shared" si="0"/>
        <v>Partner Countries</v>
      </c>
      <c r="F35" s="16">
        <f>SUMIF('1. Staff costs'!C:C,B35,'1. Staff costs'!S:S)</f>
        <v>0</v>
      </c>
      <c r="G35" s="16">
        <f>SUMIF(' 2-3-6. Travel&amp;Costs of Stay'!C:C,B35,' 2-3-6. Travel&amp;Costs of Stay'!O:O)</f>
        <v>0</v>
      </c>
      <c r="H35" s="16">
        <f>SUMIF(' 2-3-6. Travel&amp;Costs of Stay'!C:C,B35,' 2-3-6. Travel&amp;Costs of Stay'!P:P)</f>
        <v>0</v>
      </c>
      <c r="I35" s="16">
        <f>SUMIF('4. Equipment Costs'!C:C,B35,'4. Equipment Costs'!H:H)</f>
        <v>28000</v>
      </c>
      <c r="J35" s="16">
        <f>SUMIF('5. Subcontracting Costs'!C:C,B35,'5. Subcontracting Costs'!H:H)</f>
        <v>0</v>
      </c>
      <c r="K35" s="16">
        <f>SUMIF(' 2-3-6. Travel&amp;Costs of Stay'!C:C,B35,' 2-3-6. Travel&amp;Costs of Stay'!N:N)</f>
        <v>0</v>
      </c>
      <c r="L35" s="17">
        <f t="shared" si="1"/>
        <v>28000</v>
      </c>
    </row>
    <row r="36" spans="2:12">
      <c r="B36" s="44" t="s">
        <v>17</v>
      </c>
      <c r="C36" s="18"/>
      <c r="D36" s="14"/>
      <c r="E36" s="15" t="str">
        <f t="shared" si="0"/>
        <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c r="B37" s="44" t="s">
        <v>18</v>
      </c>
      <c r="C37" s="18"/>
      <c r="D37" s="14"/>
      <c r="E37" s="15" t="str">
        <f t="shared" si="0"/>
        <v/>
      </c>
      <c r="F37" s="16">
        <f>SUMIF('1. Staff costs'!C:C,B37,'1. Staff costs'!S:S)</f>
        <v>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0</v>
      </c>
    </row>
    <row r="38" spans="2:12">
      <c r="B38" s="44" t="s">
        <v>19</v>
      </c>
      <c r="C38" s="18"/>
      <c r="D38" s="14"/>
      <c r="E38" s="15" t="str">
        <f t="shared" si="0"/>
        <v/>
      </c>
      <c r="F38" s="16">
        <f>SUMIF('1. Staff costs'!C:C,B38,'1. Staff costs'!S:S)</f>
        <v>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0</v>
      </c>
    </row>
    <row r="39" spans="2:12">
      <c r="B39" s="44" t="s">
        <v>156</v>
      </c>
      <c r="C39" s="18"/>
      <c r="D39" s="14"/>
      <c r="E39" s="15" t="str">
        <f t="shared" si="0"/>
        <v/>
      </c>
      <c r="F39" s="16">
        <f>SUMIF('1. Staff costs'!C:C,B39,'1. Staff costs'!S:S)</f>
        <v>0</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0</v>
      </c>
    </row>
    <row r="40" spans="2:12">
      <c r="B40" s="44" t="s">
        <v>20</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c r="B41" s="44" t="s">
        <v>21</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c r="B42" s="44" t="s">
        <v>22</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166" priority="18">
      <formula>D17&gt;ROUND(D23*0.4,2)</formula>
    </cfRule>
  </conditionalFormatting>
  <conditionalFormatting sqref="D20">
    <cfRule type="expression" dxfId="165" priority="16">
      <formula>D20&gt;ROUND(D23*0.3,2)</formula>
    </cfRule>
  </conditionalFormatting>
  <conditionalFormatting sqref="D21">
    <cfRule type="expression" dxfId="164" priority="14">
      <formula>D21&gt;ROUND(D23*0.1,2)</formula>
    </cfRule>
  </conditionalFormatting>
  <conditionalFormatting sqref="D23">
    <cfRule type="cellIs" dxfId="163" priority="12" operator="notBetween">
      <formula>500000</formula>
      <formula>1000000</formula>
    </cfRule>
  </conditionalFormatting>
  <conditionalFormatting sqref="E18 I18">
    <cfRule type="cellIs" dxfId="162" priority="2" operator="equal">
      <formula>"Exceptional travel costs exceed 80% of total travel costs"</formula>
    </cfRule>
  </conditionalFormatting>
  <conditionalFormatting sqref="I19">
    <cfRule type="cellIs" dxfId="161"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RowHeight="15"/>
  <cols>
    <col min="1" max="1" width="30.28515625" style="85" customWidth="1"/>
    <col min="2" max="2" width="77.140625" style="85" bestFit="1" customWidth="1"/>
    <col min="3" max="3" width="10.42578125" style="85" customWidth="1"/>
    <col min="4" max="16384" width="9.140625" style="85"/>
  </cols>
  <sheetData>
    <row r="1" spans="1:2" ht="15.75">
      <c r="A1" s="80" t="s">
        <v>339</v>
      </c>
      <c r="B1" s="81"/>
    </row>
    <row r="2" spans="1:2">
      <c r="A2" s="82" t="s">
        <v>166</v>
      </c>
      <c r="B2" s="82" t="str">
        <f>IF(COUNTIF('1. Staff costs'!T:T,"Error")&lt;=1,"OK","Please check data in Tab '"&amp;A2&amp;"'")</f>
        <v>OK</v>
      </c>
    </row>
    <row r="3" spans="1:2">
      <c r="A3" s="83" t="s">
        <v>338</v>
      </c>
      <c r="B3" s="83" t="str">
        <f>IF(COUNTIF(' 2-3-6. Travel&amp;Costs of Stay'!R:R,"Error")&lt;=1,"OK","Please check data in Tab '"&amp;A3&amp;"'")</f>
        <v>OK</v>
      </c>
    </row>
    <row r="4" spans="1:2">
      <c r="A4" s="83" t="s">
        <v>185</v>
      </c>
      <c r="B4" s="83" t="str">
        <f>IF(COUNTIF('4. Equipment Costs'!I:T,"Error")&lt;=1,"OK","Please check data in Tab '"&amp;A4&amp;"'")</f>
        <v>OK</v>
      </c>
    </row>
    <row r="5" spans="1:2">
      <c r="A5" s="83" t="s">
        <v>186</v>
      </c>
      <c r="B5" s="83" t="str">
        <f>IF(COUNTIF('5. Subcontracting Costs'!I:I,"Error")&lt;=1,"OK","Please check data in Tab '"&amp;A5&amp;"'")</f>
        <v>OK</v>
      </c>
    </row>
    <row r="6" spans="1:2">
      <c r="A6" s="83" t="s">
        <v>337</v>
      </c>
      <c r="B6" s="83" t="str">
        <f>IF(COUNTIF('Co-financing'!J:J,"Error")&lt;=1,"OK","Please check data in Tab '"&amp;A6&amp;"'")</f>
        <v>OK</v>
      </c>
    </row>
    <row r="7" spans="1:2">
      <c r="A7" s="84" t="s">
        <v>336</v>
      </c>
      <c r="B7" s="84" t="str">
        <f>IF(' 2-3-6. Travel&amp;Costs of Stay'!K4="","OK","Please check Exceptional Travel Costs (EUR) in Tab '"&amp;A3&amp;"'")</f>
        <v>OK</v>
      </c>
    </row>
  </sheetData>
  <conditionalFormatting sqref="B2:B7">
    <cfRule type="cellIs" dxfId="159" priority="5" operator="notEqual">
      <formula>"OK"</formula>
    </cfRule>
    <cfRule type="cellIs" dxfId="158"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18"/>
  <sheetViews>
    <sheetView showGridLines="0" topLeftCell="D1" zoomScale="75" zoomScaleNormal="75" zoomScaleSheetLayoutView="55" workbookViewId="0">
      <pane ySplit="13" topLeftCell="A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row r="2" spans="2:20" s="20" customFormat="1" ht="39.950000000000003" customHeight="1">
      <c r="B2" s="121" t="s">
        <v>166</v>
      </c>
      <c r="C2" s="121"/>
      <c r="D2" s="121"/>
      <c r="E2" s="121"/>
      <c r="F2" s="121"/>
      <c r="G2" s="121"/>
      <c r="H2" s="121"/>
      <c r="I2" s="121"/>
      <c r="J2" s="121"/>
      <c r="K2" s="121"/>
      <c r="L2" s="121"/>
      <c r="M2" s="121"/>
      <c r="N2" s="121"/>
      <c r="O2" s="121"/>
      <c r="P2" s="121"/>
      <c r="Q2" s="121"/>
      <c r="R2" s="121"/>
      <c r="S2" s="121"/>
      <c r="T2" s="121"/>
    </row>
    <row r="3" spans="2:20" s="20" customFormat="1" ht="8.1" customHeight="1">
      <c r="B3" s="140"/>
      <c r="C3" s="141"/>
      <c r="D3" s="141"/>
      <c r="E3" s="141"/>
      <c r="F3" s="141"/>
      <c r="G3" s="141"/>
      <c r="H3" s="141"/>
      <c r="I3" s="141"/>
      <c r="J3" s="141"/>
      <c r="K3" s="141"/>
      <c r="L3" s="141"/>
      <c r="M3" s="141"/>
      <c r="N3" s="141"/>
      <c r="O3" s="141"/>
      <c r="P3" s="141"/>
      <c r="Q3" s="141"/>
      <c r="R3" s="141"/>
      <c r="S3" s="141"/>
      <c r="T3" s="142"/>
    </row>
    <row r="4" spans="2:20" s="20" customFormat="1" ht="20.100000000000001" customHeight="1">
      <c r="B4" s="132"/>
      <c r="C4" s="133"/>
      <c r="D4" s="40" t="s">
        <v>184</v>
      </c>
      <c r="E4" s="40" t="s">
        <v>182</v>
      </c>
      <c r="F4" s="136"/>
      <c r="G4" s="137"/>
      <c r="H4" s="137"/>
      <c r="I4" s="137"/>
      <c r="J4" s="137"/>
      <c r="K4" s="137"/>
      <c r="L4" s="137"/>
      <c r="M4" s="137"/>
      <c r="N4" s="137"/>
      <c r="O4" s="137"/>
      <c r="P4" s="137"/>
      <c r="Q4" s="137"/>
      <c r="R4" s="137"/>
      <c r="S4" s="137"/>
      <c r="T4" s="138"/>
    </row>
    <row r="5" spans="2:20" s="20" customFormat="1" ht="20.100000000000001" customHeight="1">
      <c r="B5" s="128" t="s">
        <v>131</v>
      </c>
      <c r="C5" s="129"/>
      <c r="D5" s="41">
        <f>SUM(H:H)</f>
        <v>18304</v>
      </c>
      <c r="E5" s="24">
        <f>SUMIF(T:T,"&lt;&gt;Error",F:F)</f>
        <v>208</v>
      </c>
      <c r="F5" s="136"/>
      <c r="G5" s="137"/>
      <c r="H5" s="137"/>
      <c r="I5" s="137"/>
      <c r="J5" s="137"/>
      <c r="K5" s="137"/>
      <c r="L5" s="137"/>
      <c r="M5" s="137"/>
      <c r="N5" s="137"/>
      <c r="O5" s="137"/>
      <c r="P5" s="137"/>
      <c r="Q5" s="137"/>
      <c r="R5" s="137"/>
      <c r="S5" s="137"/>
      <c r="T5" s="138"/>
    </row>
    <row r="6" spans="2:20" s="20" customFormat="1" ht="20.100000000000001" customHeight="1">
      <c r="B6" s="130" t="s">
        <v>129</v>
      </c>
      <c r="C6" s="131"/>
      <c r="D6" s="41">
        <f>SUM(K:K)</f>
        <v>14726</v>
      </c>
      <c r="E6" s="24">
        <f>SUMIF(T:T,"&lt;&gt;Error",I:I)</f>
        <v>199</v>
      </c>
      <c r="F6" s="136"/>
      <c r="G6" s="137"/>
      <c r="H6" s="137"/>
      <c r="I6" s="137"/>
      <c r="J6" s="137"/>
      <c r="K6" s="137"/>
      <c r="L6" s="137"/>
      <c r="M6" s="137"/>
      <c r="N6" s="137"/>
      <c r="O6" s="137"/>
      <c r="P6" s="137"/>
      <c r="Q6" s="137"/>
      <c r="R6" s="137"/>
      <c r="S6" s="137"/>
      <c r="T6" s="138"/>
    </row>
    <row r="7" spans="2:20" s="20" customFormat="1" ht="20.100000000000001" customHeight="1">
      <c r="B7" s="128" t="s">
        <v>314</v>
      </c>
      <c r="C7" s="129"/>
      <c r="D7" s="41">
        <f>SUM(N:N)</f>
        <v>10175</v>
      </c>
      <c r="E7" s="24">
        <f>SUMIF(T:T,"&lt;&gt;Error",L:L)</f>
        <v>185</v>
      </c>
      <c r="F7" s="136"/>
      <c r="G7" s="137"/>
      <c r="H7" s="137"/>
      <c r="I7" s="137"/>
      <c r="J7" s="137"/>
      <c r="K7" s="137"/>
      <c r="L7" s="137"/>
      <c r="M7" s="137"/>
      <c r="N7" s="137"/>
      <c r="O7" s="137"/>
      <c r="P7" s="137"/>
      <c r="Q7" s="137"/>
      <c r="R7" s="137"/>
      <c r="S7" s="137"/>
      <c r="T7" s="138"/>
    </row>
    <row r="8" spans="2:20" s="20" customFormat="1" ht="20.100000000000001" customHeight="1">
      <c r="B8" s="128" t="s">
        <v>313</v>
      </c>
      <c r="C8" s="129"/>
      <c r="D8" s="41">
        <f>SUM(Q:Q)</f>
        <v>5148</v>
      </c>
      <c r="E8" s="24">
        <f>SUMIF(T:T,"&lt;&gt;Error",O:O)</f>
        <v>132</v>
      </c>
      <c r="F8" s="136"/>
      <c r="G8" s="137"/>
      <c r="H8" s="137"/>
      <c r="I8" s="137"/>
      <c r="J8" s="137"/>
      <c r="K8" s="137"/>
      <c r="L8" s="137"/>
      <c r="M8" s="137"/>
      <c r="N8" s="137"/>
      <c r="O8" s="137"/>
      <c r="P8" s="137"/>
      <c r="Q8" s="137"/>
      <c r="R8" s="137"/>
      <c r="S8" s="137"/>
      <c r="T8" s="138"/>
    </row>
    <row r="9" spans="2:20" s="20" customFormat="1" ht="20.100000000000001" customHeight="1">
      <c r="B9" s="134"/>
      <c r="C9" s="135"/>
      <c r="D9" s="26">
        <f>SUM(D5:D8)</f>
        <v>48353</v>
      </c>
      <c r="E9" s="25">
        <f>SUM(E5:E8)</f>
        <v>724</v>
      </c>
      <c r="F9" s="136"/>
      <c r="G9" s="137"/>
      <c r="H9" s="137"/>
      <c r="I9" s="137"/>
      <c r="J9" s="137"/>
      <c r="K9" s="137"/>
      <c r="L9" s="137"/>
      <c r="M9" s="137"/>
      <c r="N9" s="137"/>
      <c r="O9" s="137"/>
      <c r="P9" s="137"/>
      <c r="Q9" s="137"/>
      <c r="R9" s="137"/>
      <c r="S9" s="137"/>
      <c r="T9" s="138"/>
    </row>
    <row r="10" spans="2:20" s="20" customFormat="1" ht="8.1" customHeight="1">
      <c r="B10" s="132"/>
      <c r="C10" s="139"/>
      <c r="D10" s="139"/>
      <c r="E10" s="139"/>
      <c r="F10" s="139"/>
      <c r="G10" s="139"/>
      <c r="H10" s="139"/>
      <c r="I10" s="139"/>
      <c r="J10" s="139"/>
      <c r="K10" s="139"/>
      <c r="L10" s="139"/>
      <c r="M10" s="139"/>
      <c r="N10" s="139"/>
      <c r="O10" s="139"/>
      <c r="P10" s="139"/>
      <c r="Q10" s="139"/>
      <c r="R10" s="139"/>
      <c r="S10" s="139"/>
      <c r="T10" s="133"/>
    </row>
    <row r="11" spans="2:20" s="45" customFormat="1" ht="23.1" customHeight="1">
      <c r="B11" s="122" t="s">
        <v>162</v>
      </c>
      <c r="C11" s="122" t="s">
        <v>147</v>
      </c>
      <c r="D11" s="122" t="s">
        <v>216</v>
      </c>
      <c r="E11" s="122" t="s">
        <v>217</v>
      </c>
      <c r="F11" s="124" t="str">
        <f>'Unit Costs &amp; Funding Rule'!D7</f>
        <v>Manager</v>
      </c>
      <c r="G11" s="124"/>
      <c r="H11" s="124"/>
      <c r="I11" s="125" t="str">
        <f>'Unit Costs &amp; Funding Rule'!E7</f>
        <v>Teacher/Trainer/Researcher</v>
      </c>
      <c r="J11" s="126"/>
      <c r="K11" s="127"/>
      <c r="L11" s="124" t="str">
        <f>'Unit Costs &amp; Funding Rule'!F7</f>
        <v>Technical Staff</v>
      </c>
      <c r="M11" s="124"/>
      <c r="N11" s="124"/>
      <c r="O11" s="124" t="str">
        <f>'Unit Costs &amp; Funding Rule'!G7</f>
        <v>Administrative Staff</v>
      </c>
      <c r="P11" s="124"/>
      <c r="Q11" s="124"/>
      <c r="R11" s="122" t="s">
        <v>198</v>
      </c>
      <c r="S11" s="122" t="s">
        <v>163</v>
      </c>
      <c r="T11" s="122" t="s">
        <v>218</v>
      </c>
    </row>
    <row r="12" spans="2:20" s="45" customFormat="1" ht="42" customHeight="1">
      <c r="B12" s="123"/>
      <c r="C12" s="123"/>
      <c r="D12" s="123"/>
      <c r="E12" s="123"/>
      <c r="F12" s="46" t="s">
        <v>207</v>
      </c>
      <c r="G12" s="27" t="s">
        <v>211</v>
      </c>
      <c r="H12" s="46" t="s">
        <v>164</v>
      </c>
      <c r="I12" s="46" t="s">
        <v>207</v>
      </c>
      <c r="J12" s="27" t="s">
        <v>211</v>
      </c>
      <c r="K12" s="46" t="s">
        <v>164</v>
      </c>
      <c r="L12" s="46" t="s">
        <v>207</v>
      </c>
      <c r="M12" s="27" t="s">
        <v>211</v>
      </c>
      <c r="N12" s="46" t="s">
        <v>164</v>
      </c>
      <c r="O12" s="46" t="s">
        <v>207</v>
      </c>
      <c r="P12" s="27" t="s">
        <v>211</v>
      </c>
      <c r="Q12" s="46" t="s">
        <v>164</v>
      </c>
      <c r="R12" s="123"/>
      <c r="S12" s="123"/>
      <c r="T12" s="123"/>
    </row>
    <row r="13" spans="2:20"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c r="B14" s="14" t="s">
        <v>173</v>
      </c>
      <c r="C14" s="19" t="s">
        <v>8</v>
      </c>
      <c r="D14" s="42" t="str">
        <f t="shared" si="0"/>
        <v>Univerzitet u Beogradu</v>
      </c>
      <c r="E14" s="42" t="str">
        <f t="shared" si="1"/>
        <v>Serbia</v>
      </c>
      <c r="F14" s="28">
        <v>35</v>
      </c>
      <c r="G14" s="29">
        <f t="shared" si="2"/>
        <v>88</v>
      </c>
      <c r="H14" s="30">
        <f t="shared" si="3"/>
        <v>3080</v>
      </c>
      <c r="I14" s="28">
        <v>30</v>
      </c>
      <c r="J14" s="29">
        <f t="shared" si="4"/>
        <v>74</v>
      </c>
      <c r="K14" s="30">
        <f t="shared" si="5"/>
        <v>2220</v>
      </c>
      <c r="L14" s="28">
        <v>38</v>
      </c>
      <c r="M14" s="29">
        <f t="shared" si="6"/>
        <v>55</v>
      </c>
      <c r="N14" s="30">
        <f t="shared" si="7"/>
        <v>2090</v>
      </c>
      <c r="O14" s="28">
        <v>23</v>
      </c>
      <c r="P14" s="29">
        <f t="shared" si="8"/>
        <v>39</v>
      </c>
      <c r="Q14" s="30">
        <f t="shared" si="9"/>
        <v>897</v>
      </c>
      <c r="R14" s="31">
        <f t="shared" si="10"/>
        <v>126</v>
      </c>
      <c r="S14" s="32">
        <f t="shared" si="11"/>
        <v>8287</v>
      </c>
      <c r="T14" s="33" t="str">
        <f t="shared" si="12"/>
        <v/>
      </c>
    </row>
    <row r="15" spans="2:20" s="34" customFormat="1">
      <c r="B15" s="14" t="s">
        <v>172</v>
      </c>
      <c r="C15" s="19" t="s">
        <v>13</v>
      </c>
      <c r="D15" s="42" t="str">
        <f t="shared" ref="D15:D18" si="13">IFERROR(IF(VLOOKUP(C15,PartnerN°Ref,2,FALSE)=0,"",VLOOKUP(C15,PartnerN°Ref,2,FALSE)),"")</f>
        <v>Vega IT</v>
      </c>
      <c r="E15" s="42" t="str">
        <f t="shared" ref="E15:E18" si="14">IFERROR(IF(OR(VLOOKUP(C15,PartnerN°Ref,4,FALSE)="Country not found",VLOOKUP(C15,PartnerN°Ref,3,FALSE)=0),"",VLOOKUP(C15,PartnerN°Ref,3,FALSE)),"")</f>
        <v>Serbia</v>
      </c>
      <c r="F15" s="28">
        <v>45</v>
      </c>
      <c r="G15" s="29">
        <f t="shared" ref="G15:G18" si="15">IF(T15="Error",0,INDEX(Rates,MATCH(E15,CountryALL,0),MATCH($F$11,Category,0)))</f>
        <v>88</v>
      </c>
      <c r="H15" s="30">
        <f t="shared" ref="H15:H18" si="16">IFERROR(IF(T15="Error",0,ROUND(F15*G15,2)),0)</f>
        <v>3960</v>
      </c>
      <c r="I15" s="28">
        <v>50</v>
      </c>
      <c r="J15" s="29">
        <f t="shared" ref="J15:J18" si="17">IF(T15="Error",0,INDEX(Rates,MATCH(E15,CountryALL,0),MATCH($I$11,Category,0)))</f>
        <v>74</v>
      </c>
      <c r="K15" s="30">
        <f t="shared" ref="K15:K18" si="18">IFERROR(IF(T15="Error",0,ROUND(I15*J15,2)),0)</f>
        <v>3700</v>
      </c>
      <c r="L15" s="28">
        <v>45</v>
      </c>
      <c r="M15" s="29">
        <f t="shared" ref="M15:M18" si="19">IF(T15="Error",0,INDEX(Rates,MATCH(E15,CountryALL,0),MATCH($L$11,Category,0)))</f>
        <v>55</v>
      </c>
      <c r="N15" s="30">
        <f t="shared" ref="N15:N18" si="20">IFERROR(IF(T15="Error",0,ROUND(L15*M15,2)),0)</f>
        <v>2475</v>
      </c>
      <c r="O15" s="28">
        <v>30</v>
      </c>
      <c r="P15" s="29">
        <f t="shared" ref="P15:P18" si="21">IF(T15="Error",0,INDEX(Rates,MATCH(E15,CountryALL,0),MATCH($O$11,Category,0)))</f>
        <v>39</v>
      </c>
      <c r="Q15" s="30">
        <f t="shared" ref="Q15:Q18" si="22">IFERROR(IF(T15="Error",0,ROUND(O15*P15,2)),0)</f>
        <v>1170</v>
      </c>
      <c r="R15" s="31">
        <f t="shared" ref="R15:R18" si="23">IF(T15="Error",0,F15+I15+L15+O15)</f>
        <v>170</v>
      </c>
      <c r="S15" s="32">
        <f t="shared" ref="S15:S18" si="24">IF(T15="Error",0,H15+K15+N15+Q15)</f>
        <v>11305</v>
      </c>
      <c r="T15" s="33"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c r="B16" s="14" t="s">
        <v>318</v>
      </c>
      <c r="C16" s="19" t="s">
        <v>10</v>
      </c>
      <c r="D16" s="42" t="str">
        <f t="shared" si="13"/>
        <v>Univerzitet u Nišu</v>
      </c>
      <c r="E16" s="42" t="str">
        <f t="shared" si="14"/>
        <v>Serbia</v>
      </c>
      <c r="F16" s="28">
        <v>38</v>
      </c>
      <c r="G16" s="29">
        <f t="shared" si="15"/>
        <v>88</v>
      </c>
      <c r="H16" s="30">
        <f t="shared" si="16"/>
        <v>3344</v>
      </c>
      <c r="I16" s="28">
        <v>32</v>
      </c>
      <c r="J16" s="29">
        <f t="shared" si="17"/>
        <v>74</v>
      </c>
      <c r="K16" s="30">
        <f t="shared" si="18"/>
        <v>2368</v>
      </c>
      <c r="L16" s="28">
        <v>30</v>
      </c>
      <c r="M16" s="29">
        <f t="shared" si="19"/>
        <v>55</v>
      </c>
      <c r="N16" s="30">
        <f t="shared" si="20"/>
        <v>1650</v>
      </c>
      <c r="O16" s="28">
        <v>24</v>
      </c>
      <c r="P16" s="29">
        <f t="shared" si="21"/>
        <v>39</v>
      </c>
      <c r="Q16" s="30">
        <f t="shared" si="22"/>
        <v>936</v>
      </c>
      <c r="R16" s="31">
        <f t="shared" si="23"/>
        <v>124</v>
      </c>
      <c r="S16" s="32">
        <f t="shared" si="24"/>
        <v>8298</v>
      </c>
      <c r="T16" s="33" t="str">
        <f t="shared" si="25"/>
        <v/>
      </c>
    </row>
    <row r="17" spans="2:20" s="34" customFormat="1">
      <c r="B17" s="14" t="s">
        <v>319</v>
      </c>
      <c r="C17" s="19" t="s">
        <v>11</v>
      </c>
      <c r="D17" s="42" t="str">
        <f t="shared" si="13"/>
        <v>Univerzitet u Kragujevcu</v>
      </c>
      <c r="E17" s="42" t="str">
        <f t="shared" si="14"/>
        <v>Serbia</v>
      </c>
      <c r="F17" s="28">
        <v>45</v>
      </c>
      <c r="G17" s="29">
        <f t="shared" si="15"/>
        <v>88</v>
      </c>
      <c r="H17" s="30">
        <f t="shared" si="16"/>
        <v>3960</v>
      </c>
      <c r="I17" s="28">
        <v>52</v>
      </c>
      <c r="J17" s="29">
        <f t="shared" si="17"/>
        <v>74</v>
      </c>
      <c r="K17" s="30">
        <f t="shared" si="18"/>
        <v>3848</v>
      </c>
      <c r="L17" s="28">
        <v>42</v>
      </c>
      <c r="M17" s="29">
        <f t="shared" si="19"/>
        <v>55</v>
      </c>
      <c r="N17" s="30">
        <f t="shared" si="20"/>
        <v>2310</v>
      </c>
      <c r="O17" s="28">
        <v>29</v>
      </c>
      <c r="P17" s="29">
        <f t="shared" si="21"/>
        <v>39</v>
      </c>
      <c r="Q17" s="30">
        <f t="shared" si="22"/>
        <v>1131</v>
      </c>
      <c r="R17" s="31">
        <f t="shared" si="23"/>
        <v>168</v>
      </c>
      <c r="S17" s="32">
        <f t="shared" si="24"/>
        <v>11249</v>
      </c>
      <c r="T17" s="33" t="str">
        <f t="shared" si="25"/>
        <v/>
      </c>
    </row>
    <row r="18" spans="2:20" s="34" customFormat="1">
      <c r="B18" s="14" t="s">
        <v>174</v>
      </c>
      <c r="C18" s="19" t="s">
        <v>12</v>
      </c>
      <c r="D18" s="42" t="str">
        <f t="shared" si="13"/>
        <v>Nordeus</v>
      </c>
      <c r="E18" s="42" t="str">
        <f t="shared" si="14"/>
        <v>Serbia</v>
      </c>
      <c r="F18" s="28">
        <v>45</v>
      </c>
      <c r="G18" s="29">
        <f t="shared" si="15"/>
        <v>88</v>
      </c>
      <c r="H18" s="30">
        <f t="shared" si="16"/>
        <v>3960</v>
      </c>
      <c r="I18" s="28">
        <v>35</v>
      </c>
      <c r="J18" s="29">
        <f t="shared" si="17"/>
        <v>74</v>
      </c>
      <c r="K18" s="30">
        <f t="shared" si="18"/>
        <v>2590</v>
      </c>
      <c r="L18" s="28">
        <v>30</v>
      </c>
      <c r="M18" s="29">
        <f t="shared" si="19"/>
        <v>55</v>
      </c>
      <c r="N18" s="30">
        <f t="shared" si="20"/>
        <v>1650</v>
      </c>
      <c r="O18" s="28">
        <v>26</v>
      </c>
      <c r="P18" s="29">
        <f t="shared" si="21"/>
        <v>39</v>
      </c>
      <c r="Q18" s="30">
        <f t="shared" si="22"/>
        <v>1014</v>
      </c>
      <c r="R18" s="31">
        <f t="shared" si="23"/>
        <v>136</v>
      </c>
      <c r="S18" s="32">
        <f t="shared" si="24"/>
        <v>9214</v>
      </c>
      <c r="T18" s="33" t="str">
        <f t="shared" si="25"/>
        <v/>
      </c>
    </row>
  </sheetData>
  <sheetProtection algorithmName="SHA-512" hashValue="KUZoXY54CS+hw9uTq+QsTVMkiny9EvAQlkD6CmEKfUpUon75nJmzRdCERau8UdJFixB6Mp0uV0lAENkyNDFCvA==" saltValue="Rl96r85ZcFZ9NTDTorU1TQ=="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8">
    <cfRule type="containsText" dxfId="157" priority="935" operator="containsText" text="Error">
      <formula>NOT(ISERROR(SEARCH("Error",T13)))</formula>
    </cfRule>
  </conditionalFormatting>
  <conditionalFormatting sqref="D13:E18">
    <cfRule type="containsBlanks" dxfId="156" priority="931">
      <formula>LEN(TRIM(D13))=0</formula>
    </cfRule>
  </conditionalFormatting>
  <conditionalFormatting sqref="F14 I14 L14 O14">
    <cfRule type="expression" dxfId="155" priority="302">
      <formula>ISNUMBER(F14)=FALSE</formula>
    </cfRule>
  </conditionalFormatting>
  <conditionalFormatting sqref="F13 I13 L13 O13">
    <cfRule type="expression" dxfId="154" priority="301">
      <formula>ISNUMBER(F13)=FALSE</formula>
    </cfRule>
  </conditionalFormatting>
  <conditionalFormatting sqref="B13:C13">
    <cfRule type="containsBlanks" dxfId="153" priority="294">
      <formula>LEN(TRIM(B13))=0</formula>
    </cfRule>
  </conditionalFormatting>
  <conditionalFormatting sqref="B14:C14">
    <cfRule type="containsBlanks" dxfId="152" priority="293">
      <formula>LEN(TRIM(B14))=0</formula>
    </cfRule>
  </conditionalFormatting>
  <conditionalFormatting sqref="F15 I15 L15 O15">
    <cfRule type="expression" dxfId="151" priority="8">
      <formula>ISNUMBER(F15)=FALSE</formula>
    </cfRule>
  </conditionalFormatting>
  <conditionalFormatting sqref="B15:C15">
    <cfRule type="containsBlanks" dxfId="150" priority="7">
      <formula>LEN(TRIM(B15))=0</formula>
    </cfRule>
  </conditionalFormatting>
  <conditionalFormatting sqref="F16 I16 L16 O16">
    <cfRule type="expression" dxfId="149" priority="6">
      <formula>ISNUMBER(F16)=FALSE</formula>
    </cfRule>
  </conditionalFormatting>
  <conditionalFormatting sqref="B16:C16">
    <cfRule type="containsBlanks" dxfId="148" priority="5">
      <formula>LEN(TRIM(B16))=0</formula>
    </cfRule>
  </conditionalFormatting>
  <conditionalFormatting sqref="F17 I17 L17 O17">
    <cfRule type="expression" dxfId="147" priority="4">
      <formula>ISNUMBER(F17)=FALSE</formula>
    </cfRule>
  </conditionalFormatting>
  <conditionalFormatting sqref="B17:C17">
    <cfRule type="containsBlanks" dxfId="146" priority="3">
      <formula>LEN(TRIM(B17))=0</formula>
    </cfRule>
  </conditionalFormatting>
  <conditionalFormatting sqref="F18 I18 L18 O18">
    <cfRule type="expression" dxfId="145" priority="2">
      <formula>ISNUMBER(F18)=FALSE</formula>
    </cfRule>
  </conditionalFormatting>
  <conditionalFormatting sqref="B18:C18">
    <cfRule type="containsBlanks" dxfId="144" priority="1">
      <formula>LEN(TRIM(B18))=0</formula>
    </cfRule>
  </conditionalFormatting>
  <dataValidations count="4">
    <dataValidation allowBlank="1" showInputMessage="1" errorTitle="Warning: Max Ceilings exceeded" error="Please be aware that this exceed the &quot;Ceilings&quot; for the maximum amounts for staff cost by country" sqref="M13:M18 J13:J18 P13:P18 G13:G18" xr:uid="{00000000-0002-0000-0200-000000000000}"/>
    <dataValidation type="custom" allowBlank="1" showInputMessage="1" showErrorMessage="1" error="Format error (1 decimal only)" prompt="Please encode number of days - 1 decimal only" sqref="F13:F18 I13:I18 O13:O18 L13:L18" xr:uid="{00000000-0002-0000-0200-000001000000}">
      <formula1>F13=INT(F13*10)/10</formula1>
    </dataValidation>
    <dataValidation type="list" allowBlank="1" showInputMessage="1" showErrorMessage="1" error="Click arrow to select Work Package" prompt="Click arrow to select Work Package" sqref="B13:B18" xr:uid="{00000000-0002-0000-0200-000002000000}">
      <formula1>WorkPackage</formula1>
    </dataValidation>
    <dataValidation type="list" allowBlank="1" showInputMessage="1" showErrorMessage="1" error="Click arrow to select Partner N°" prompt="Click arrow to select Partner N°" sqref="C13:C1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23"/>
  <sheetViews>
    <sheetView showGridLines="0" zoomScale="44" zoomScaleNormal="44" zoomScaleSheetLayoutView="55" workbookViewId="0">
      <pane ySplit="13" topLeftCell="A14" activePane="bottomLeft" state="frozen"/>
      <selection pane="bottomLeft" activeCell="I14" sqref="I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row r="2" spans="2:18" s="20" customFormat="1" ht="39.950000000000003" customHeight="1">
      <c r="B2" s="146" t="s">
        <v>183</v>
      </c>
      <c r="C2" s="146"/>
      <c r="D2" s="146"/>
      <c r="E2" s="146"/>
      <c r="F2" s="146"/>
      <c r="G2" s="146"/>
      <c r="H2" s="146"/>
      <c r="I2" s="146"/>
      <c r="J2" s="146"/>
      <c r="K2" s="146"/>
      <c r="L2" s="146"/>
      <c r="M2" s="146"/>
      <c r="N2" s="146"/>
      <c r="O2" s="146"/>
      <c r="P2" s="146"/>
      <c r="Q2" s="146"/>
      <c r="R2" s="146"/>
    </row>
    <row r="3" spans="2:18" s="20" customFormat="1" ht="8.1" customHeight="1">
      <c r="B3" s="140"/>
      <c r="C3" s="141"/>
      <c r="D3" s="141"/>
      <c r="E3" s="141"/>
      <c r="F3" s="141"/>
      <c r="G3" s="141"/>
      <c r="H3" s="141"/>
      <c r="I3" s="141"/>
      <c r="J3" s="141"/>
      <c r="K3" s="141"/>
      <c r="L3" s="141"/>
      <c r="M3" s="141"/>
      <c r="N3" s="141"/>
      <c r="O3" s="141"/>
      <c r="P3" s="141"/>
      <c r="Q3" s="141"/>
      <c r="R3" s="142"/>
    </row>
    <row r="4" spans="2:18" s="20" customFormat="1" ht="20.100000000000001" customHeight="1">
      <c r="B4" s="155" t="s">
        <v>302</v>
      </c>
      <c r="C4" s="156"/>
      <c r="D4" s="51">
        <f>SUMIF(G:G,"Student",O:O)</f>
        <v>9000</v>
      </c>
      <c r="E4" s="170">
        <f>D4+D5</f>
        <v>73500</v>
      </c>
      <c r="F4" s="151">
        <f>SUMIFS(H:H,G:G,"Student",R:R,"&lt;&gt;Error")</f>
        <v>50</v>
      </c>
      <c r="G4" s="49"/>
      <c r="L4" s="143" t="s">
        <v>345</v>
      </c>
      <c r="M4" s="144"/>
      <c r="N4" s="145"/>
      <c r="O4" s="90"/>
      <c r="P4" s="90"/>
      <c r="Q4" s="90"/>
      <c r="R4" s="77"/>
    </row>
    <row r="5" spans="2:18" s="20" customFormat="1" ht="20.100000000000001" customHeight="1">
      <c r="B5" s="153" t="s">
        <v>303</v>
      </c>
      <c r="C5" s="154"/>
      <c r="D5" s="52">
        <f>SUMIF(G:G,"Student",P:P)</f>
        <v>64500</v>
      </c>
      <c r="E5" s="171"/>
      <c r="F5" s="152"/>
      <c r="G5" s="49"/>
      <c r="H5" s="50"/>
      <c r="I5" s="50"/>
      <c r="J5" s="50"/>
      <c r="L5" s="157" t="s">
        <v>354</v>
      </c>
      <c r="M5" s="158"/>
      <c r="N5" s="159"/>
      <c r="O5" s="50"/>
      <c r="P5" s="50"/>
      <c r="Q5" s="50"/>
      <c r="R5" s="77"/>
    </row>
    <row r="6" spans="2:18" s="20" customFormat="1" ht="20.100000000000001" customHeight="1">
      <c r="B6" s="155" t="s">
        <v>304</v>
      </c>
      <c r="C6" s="156"/>
      <c r="D6" s="51">
        <f>SUMIF(G:G,"Staff",O:O)</f>
        <v>21190</v>
      </c>
      <c r="E6" s="168">
        <f>D6+D7</f>
        <v>320090</v>
      </c>
      <c r="F6" s="149">
        <f>SUMIFS(H:H,G:G,"Staff",R:R,"&lt;&gt;Error")</f>
        <v>104</v>
      </c>
      <c r="G6" s="49"/>
      <c r="L6" s="160"/>
      <c r="M6" s="161"/>
      <c r="N6" s="162"/>
      <c r="R6" s="77"/>
    </row>
    <row r="7" spans="2:18" s="20" customFormat="1" ht="20.100000000000001" customHeight="1">
      <c r="B7" s="153" t="s">
        <v>305</v>
      </c>
      <c r="C7" s="154"/>
      <c r="D7" s="52">
        <f>SUMIF(G:G,"Staff",P:P)</f>
        <v>298900</v>
      </c>
      <c r="E7" s="169"/>
      <c r="F7" s="150"/>
      <c r="G7" s="49"/>
      <c r="L7" s="160"/>
      <c r="M7" s="161"/>
      <c r="N7" s="162"/>
      <c r="R7" s="77"/>
    </row>
    <row r="8" spans="2:18" s="20" customFormat="1" ht="20.100000000000001" customHeight="1">
      <c r="B8" s="155" t="s">
        <v>306</v>
      </c>
      <c r="C8" s="156"/>
      <c r="D8" s="51">
        <f>SUM(O:O)</f>
        <v>30190</v>
      </c>
      <c r="E8" s="166">
        <f>D8+D9</f>
        <v>393590</v>
      </c>
      <c r="F8" s="147">
        <f>F4+F6</f>
        <v>154</v>
      </c>
      <c r="G8" s="49"/>
      <c r="L8" s="160"/>
      <c r="M8" s="161"/>
      <c r="N8" s="162"/>
      <c r="R8" s="77"/>
    </row>
    <row r="9" spans="2:18" s="20" customFormat="1" ht="20.100000000000001" customHeight="1">
      <c r="B9" s="153" t="s">
        <v>307</v>
      </c>
      <c r="C9" s="154"/>
      <c r="D9" s="52">
        <f>SUM(P:P)</f>
        <v>363400</v>
      </c>
      <c r="E9" s="167"/>
      <c r="F9" s="148"/>
      <c r="G9" s="49"/>
      <c r="L9" s="160"/>
      <c r="M9" s="161"/>
      <c r="N9" s="162"/>
      <c r="R9" s="77"/>
    </row>
    <row r="10" spans="2:18" s="20" customFormat="1">
      <c r="B10" s="153" t="s">
        <v>344</v>
      </c>
      <c r="C10" s="154"/>
      <c r="D10" s="52">
        <f>SUM(N:N)</f>
        <v>0</v>
      </c>
      <c r="L10" s="160"/>
      <c r="M10" s="161"/>
      <c r="N10" s="162"/>
      <c r="R10" s="94"/>
    </row>
    <row r="11" spans="2:18" s="45" customFormat="1" ht="62.25" customHeight="1">
      <c r="B11" s="86"/>
      <c r="L11" s="163"/>
      <c r="M11" s="164"/>
      <c r="N11" s="165"/>
      <c r="R11" s="87"/>
    </row>
    <row r="12" spans="2:18" ht="75" customHeight="1">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18" si="2">IF(AND(M13&gt;0,L13&lt;&gt;""),IF(M13&gt;(ROUND( (ROUND(ROUND(H13,0)*(VLOOKUP(J13,TravelCosts,2,FALSE)),2))/0.65,2)),ROUND(M13*0.8,2),"covered by unit cost"),0)</f>
        <v>0</v>
      </c>
      <c r="O13" s="37">
        <f t="shared" ref="O13:O18" si="3">IF(OR(AND(L13&lt;&gt;"",M13&gt;0,ISNUMBER(N13)),R13="Error"),0,ROUND(ROUND(H13,0)*(VLOOKUP(J13,TravelCosts,2,FALSE)),2))</f>
        <v>0</v>
      </c>
      <c r="P13" s="37">
        <f t="shared" ref="P13:P18" si="4">IF(R13="Error",0,IF(AND(G13="Staff",K13&gt;0,K13&lt;15),(120*K13)*H13,IF(AND(G13="Staff",K13&gt;14,K13&lt;61),(1680+((K13-14)*70))*H13,IF(AND(G13="Staff",K13&gt;60,K13&lt;91),(4900+((K13-60)*50))*H13,IF(AND(G13="Student",K13&gt;0,K13&lt;15),(55*K13)*H13,IF(AND(G13="Student",K13&gt;14,K13&lt;91),(770+((K13-14)*40))*H13,0))))))</f>
        <v>0</v>
      </c>
      <c r="Q13" s="38">
        <f t="shared" ref="Q13:Q18" si="5">IFERROR(N13+O13+P13,O13+P13)</f>
        <v>0</v>
      </c>
      <c r="R13" s="91" t="str">
        <f t="shared" ref="R13:R18"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c r="B14" s="14" t="s">
        <v>173</v>
      </c>
      <c r="C14" s="19" t="s">
        <v>8</v>
      </c>
      <c r="D14" s="42" t="str">
        <f t="shared" si="0"/>
        <v>Univerzitet u Beogradu</v>
      </c>
      <c r="E14" s="42" t="str">
        <f t="shared" si="1"/>
        <v>Serbia</v>
      </c>
      <c r="F14" s="18" t="s">
        <v>370</v>
      </c>
      <c r="G14" s="78" t="s">
        <v>208</v>
      </c>
      <c r="H14" s="79">
        <v>25</v>
      </c>
      <c r="I14" s="18" t="s">
        <v>371</v>
      </c>
      <c r="J14" s="14" t="s">
        <v>149</v>
      </c>
      <c r="K14" s="79">
        <v>23</v>
      </c>
      <c r="L14" s="92"/>
      <c r="M14" s="93"/>
      <c r="N14" s="37">
        <f t="shared" si="2"/>
        <v>0</v>
      </c>
      <c r="O14" s="37">
        <f t="shared" si="3"/>
        <v>4500</v>
      </c>
      <c r="P14" s="37">
        <f t="shared" si="4"/>
        <v>57750</v>
      </c>
      <c r="Q14" s="38">
        <f t="shared" si="5"/>
        <v>62250</v>
      </c>
      <c r="R14" s="91" t="str">
        <f t="shared" si="6"/>
        <v/>
      </c>
    </row>
    <row r="15" spans="2:18" s="34" customFormat="1">
      <c r="B15" s="14" t="s">
        <v>172</v>
      </c>
      <c r="C15" s="19" t="s">
        <v>13</v>
      </c>
      <c r="D15" s="42" t="str">
        <f t="shared" ref="D15:D18" si="7">IFERROR(IF(VLOOKUP(C15,PartnerN°Ref,2,FALSE)=0,"",VLOOKUP(C15,PartnerN°Ref,2,FALSE)),"")</f>
        <v>Vega IT</v>
      </c>
      <c r="E15" s="42" t="str">
        <f t="shared" ref="E15:E18" si="8">IFERROR(IF(OR(VLOOKUP(C15,PartnerN°Ref,4,FALSE)="Country not found",VLOOKUP(C15,PartnerN°Ref,3,FALSE)=0),"",VLOOKUP(C15,PartnerN°Ref,3,FALSE)),"")</f>
        <v>Serbia</v>
      </c>
      <c r="F15" s="18" t="s">
        <v>370</v>
      </c>
      <c r="G15" s="78" t="s">
        <v>208</v>
      </c>
      <c r="H15" s="79">
        <v>30</v>
      </c>
      <c r="I15" s="18" t="s">
        <v>372</v>
      </c>
      <c r="J15" s="14" t="s">
        <v>149</v>
      </c>
      <c r="K15" s="79">
        <v>40</v>
      </c>
      <c r="L15" s="92"/>
      <c r="M15" s="93"/>
      <c r="N15" s="37">
        <f t="shared" si="2"/>
        <v>0</v>
      </c>
      <c r="O15" s="37">
        <f t="shared" si="3"/>
        <v>5400</v>
      </c>
      <c r="P15" s="37">
        <f t="shared" si="4"/>
        <v>105000</v>
      </c>
      <c r="Q15" s="38">
        <f t="shared" si="5"/>
        <v>110400</v>
      </c>
      <c r="R15" s="91" t="str">
        <f t="shared" si="6"/>
        <v/>
      </c>
    </row>
    <row r="16" spans="2:18" s="34" customFormat="1">
      <c r="B16" s="14" t="s">
        <v>318</v>
      </c>
      <c r="C16" s="19" t="s">
        <v>10</v>
      </c>
      <c r="D16" s="42" t="str">
        <f t="shared" si="7"/>
        <v>Univerzitet u Nišu</v>
      </c>
      <c r="E16" s="42" t="str">
        <f t="shared" si="8"/>
        <v>Serbia</v>
      </c>
      <c r="F16" s="18" t="s">
        <v>370</v>
      </c>
      <c r="G16" s="78" t="s">
        <v>208</v>
      </c>
      <c r="H16" s="79">
        <v>26</v>
      </c>
      <c r="I16" s="18" t="s">
        <v>373</v>
      </c>
      <c r="J16" s="14" t="s">
        <v>150</v>
      </c>
      <c r="K16" s="79">
        <v>25</v>
      </c>
      <c r="L16" s="92"/>
      <c r="M16" s="93"/>
      <c r="N16" s="37">
        <f t="shared" si="2"/>
        <v>0</v>
      </c>
      <c r="O16" s="37">
        <f t="shared" si="3"/>
        <v>7150</v>
      </c>
      <c r="P16" s="37">
        <f t="shared" si="4"/>
        <v>63700</v>
      </c>
      <c r="Q16" s="38">
        <f t="shared" si="5"/>
        <v>70850</v>
      </c>
      <c r="R16" s="91" t="str">
        <f t="shared" si="6"/>
        <v/>
      </c>
    </row>
    <row r="17" spans="2:18" s="34" customFormat="1">
      <c r="B17" s="14" t="s">
        <v>319</v>
      </c>
      <c r="C17" s="19" t="s">
        <v>11</v>
      </c>
      <c r="D17" s="42" t="str">
        <f t="shared" si="7"/>
        <v>Univerzitet u Kragujevcu</v>
      </c>
      <c r="E17" s="42" t="str">
        <f t="shared" si="8"/>
        <v>Serbia</v>
      </c>
      <c r="F17" s="18" t="s">
        <v>370</v>
      </c>
      <c r="G17" s="78" t="s">
        <v>210</v>
      </c>
      <c r="H17" s="79">
        <v>50</v>
      </c>
      <c r="I17" s="18" t="s">
        <v>374</v>
      </c>
      <c r="J17" s="14" t="s">
        <v>149</v>
      </c>
      <c r="K17" s="79">
        <v>27</v>
      </c>
      <c r="L17" s="92"/>
      <c r="M17" s="93"/>
      <c r="N17" s="37">
        <f t="shared" si="2"/>
        <v>0</v>
      </c>
      <c r="O17" s="37">
        <f t="shared" si="3"/>
        <v>9000</v>
      </c>
      <c r="P17" s="37">
        <f t="shared" si="4"/>
        <v>64500</v>
      </c>
      <c r="Q17" s="38">
        <f t="shared" si="5"/>
        <v>73500</v>
      </c>
      <c r="R17" s="91" t="str">
        <f t="shared" si="6"/>
        <v/>
      </c>
    </row>
    <row r="18" spans="2:18" s="34" customFormat="1">
      <c r="B18" s="14" t="s">
        <v>174</v>
      </c>
      <c r="C18" s="19" t="s">
        <v>12</v>
      </c>
      <c r="D18" s="42" t="str">
        <f t="shared" si="7"/>
        <v>Nordeus</v>
      </c>
      <c r="E18" s="42" t="str">
        <f t="shared" si="8"/>
        <v>Serbia</v>
      </c>
      <c r="F18" s="18" t="s">
        <v>370</v>
      </c>
      <c r="G18" s="78" t="s">
        <v>208</v>
      </c>
      <c r="H18" s="79">
        <v>23</v>
      </c>
      <c r="I18" s="18" t="s">
        <v>371</v>
      </c>
      <c r="J18" s="14" t="s">
        <v>149</v>
      </c>
      <c r="K18" s="79">
        <v>35</v>
      </c>
      <c r="L18" s="92"/>
      <c r="M18" s="93"/>
      <c r="N18" s="37">
        <f t="shared" si="2"/>
        <v>0</v>
      </c>
      <c r="O18" s="37">
        <f t="shared" si="3"/>
        <v>4140</v>
      </c>
      <c r="P18" s="37">
        <f t="shared" si="4"/>
        <v>72450</v>
      </c>
      <c r="Q18" s="38">
        <f t="shared" si="5"/>
        <v>76590</v>
      </c>
      <c r="R18" s="91" t="str">
        <f t="shared" si="6"/>
        <v/>
      </c>
    </row>
    <row r="20" spans="2:18">
      <c r="M20" s="96"/>
    </row>
    <row r="22" spans="2:18">
      <c r="L22" s="95"/>
      <c r="M22" s="95"/>
    </row>
    <row r="23" spans="2:18">
      <c r="M23" s="95"/>
      <c r="N23" s="95"/>
      <c r="O23" s="95"/>
    </row>
  </sheetData>
  <sheetProtection algorithmName="SHA-512" hashValue="OSwHAQ0zZ8VQHzqOAuGy45rJjXnIPTmAPVJowCzrj13sOcFCdCfFLzCBiq3mbtthfp7A8fToCJoWFSGIUSCSSQ==" saltValue="ds1Cccq8df/9aOfthafoUw==" spinCount="100000" sheet="1" objects="1" scenarios="1" selectLockedCells="1"/>
  <dataConsolidate/>
  <mergeCells count="17">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s>
  <conditionalFormatting sqref="R14">
    <cfRule type="containsText" dxfId="143" priority="1527" operator="containsText" text="Error">
      <formula>NOT(ISERROR(SEARCH("Error",R14)))</formula>
    </cfRule>
  </conditionalFormatting>
  <conditionalFormatting sqref="D13:E18">
    <cfRule type="containsBlanks" dxfId="142" priority="1525">
      <formula>LEN(TRIM(D13))=0</formula>
    </cfRule>
  </conditionalFormatting>
  <conditionalFormatting sqref="O4:Q4">
    <cfRule type="cellIs" dxfId="141" priority="1273" operator="equal">
      <formula>"EXCEEDING 80% OF TOTAL TRAVEL COSTS"</formula>
    </cfRule>
  </conditionalFormatting>
  <conditionalFormatting sqref="H13 K13">
    <cfRule type="expression" dxfId="140" priority="1265">
      <formula>ISNUMBER(H13)=FALSE</formula>
    </cfRule>
  </conditionalFormatting>
  <conditionalFormatting sqref="F13:K13">
    <cfRule type="containsBlanks" dxfId="139" priority="190">
      <formula>LEN(TRIM(F13))=0</formula>
    </cfRule>
  </conditionalFormatting>
  <conditionalFormatting sqref="B13:C13">
    <cfRule type="containsBlanks" dxfId="138" priority="1257">
      <formula>LEN(TRIM(B13))=0</formula>
    </cfRule>
  </conditionalFormatting>
  <conditionalFormatting sqref="B14:C14">
    <cfRule type="containsBlanks" dxfId="137" priority="1256">
      <formula>LEN(TRIM(B14))=0</formula>
    </cfRule>
  </conditionalFormatting>
  <conditionalFormatting sqref="K13">
    <cfRule type="cellIs" dxfId="136" priority="185" operator="lessThan">
      <formula>0</formula>
    </cfRule>
    <cfRule type="cellIs" dxfId="135" priority="1270" operator="equal">
      <formula>0</formula>
    </cfRule>
  </conditionalFormatting>
  <conditionalFormatting sqref="H13">
    <cfRule type="cellIs" dxfId="134" priority="1261" operator="lessThanOrEqual">
      <formula>0</formula>
    </cfRule>
  </conditionalFormatting>
  <conditionalFormatting sqref="H14 K14">
    <cfRule type="expression" dxfId="133" priority="183">
      <formula>ISNUMBER(H14)=FALSE</formula>
    </cfRule>
  </conditionalFormatting>
  <conditionalFormatting sqref="F14:K14">
    <cfRule type="containsBlanks" dxfId="132" priority="181">
      <formula>LEN(TRIM(F14))=0</formula>
    </cfRule>
  </conditionalFormatting>
  <conditionalFormatting sqref="K14">
    <cfRule type="cellIs" dxfId="131" priority="180" operator="lessThan">
      <formula>0</formula>
    </cfRule>
    <cfRule type="cellIs" dxfId="130" priority="184" operator="equal">
      <formula>0</formula>
    </cfRule>
  </conditionalFormatting>
  <conditionalFormatting sqref="H14">
    <cfRule type="cellIs" dxfId="129" priority="182" operator="lessThanOrEqual">
      <formula>0</formula>
    </cfRule>
  </conditionalFormatting>
  <conditionalFormatting sqref="M14">
    <cfRule type="expression" dxfId="128" priority="163">
      <formula>AND(M14=0,L14&lt;&gt;"")</formula>
    </cfRule>
  </conditionalFormatting>
  <conditionalFormatting sqref="L14">
    <cfRule type="expression" dxfId="127" priority="165">
      <formula>AND(L14="",M14&gt;0)</formula>
    </cfRule>
  </conditionalFormatting>
  <conditionalFormatting sqref="L14:M14">
    <cfRule type="cellIs" dxfId="126" priority="166" operator="equal">
      <formula>0</formula>
    </cfRule>
  </conditionalFormatting>
  <conditionalFormatting sqref="M13">
    <cfRule type="expression" dxfId="125" priority="155">
      <formula>AND(M13=0,L13&lt;&gt;"")</formula>
    </cfRule>
  </conditionalFormatting>
  <conditionalFormatting sqref="L13">
    <cfRule type="expression" dxfId="124" priority="156">
      <formula>AND(L13="",M13&gt;0)</formula>
    </cfRule>
  </conditionalFormatting>
  <conditionalFormatting sqref="L13:M13">
    <cfRule type="cellIs" dxfId="123" priority="157" operator="equal">
      <formula>0</formula>
    </cfRule>
  </conditionalFormatting>
  <conditionalFormatting sqref="N14">
    <cfRule type="expression" dxfId="122" priority="143">
      <formula>ISNUMBER(N14)=FALSE</formula>
    </cfRule>
  </conditionalFormatting>
  <conditionalFormatting sqref="R13">
    <cfRule type="containsText" dxfId="121" priority="130" operator="containsText" text="Error">
      <formula>NOT(ISERROR(SEARCH("Error",R13)))</formula>
    </cfRule>
  </conditionalFormatting>
  <conditionalFormatting sqref="N13">
    <cfRule type="expression" dxfId="120" priority="129">
      <formula>ISNUMBER(N13)=FALSE</formula>
    </cfRule>
  </conditionalFormatting>
  <conditionalFormatting sqref="H15 K15">
    <cfRule type="expression" dxfId="119" priority="43">
      <formula>ISNUMBER(H15)=FALSE</formula>
    </cfRule>
  </conditionalFormatting>
  <conditionalFormatting sqref="F15:K15">
    <cfRule type="containsBlanks" dxfId="118" priority="40">
      <formula>LEN(TRIM(F15))=0</formula>
    </cfRule>
  </conditionalFormatting>
  <conditionalFormatting sqref="B15:C15">
    <cfRule type="containsBlanks" dxfId="117" priority="41">
      <formula>LEN(TRIM(B15))=0</formula>
    </cfRule>
  </conditionalFormatting>
  <conditionalFormatting sqref="K15">
    <cfRule type="cellIs" dxfId="116" priority="39" operator="lessThan">
      <formula>0</formula>
    </cfRule>
    <cfRule type="cellIs" dxfId="115" priority="44" operator="equal">
      <formula>0</formula>
    </cfRule>
  </conditionalFormatting>
  <conditionalFormatting sqref="H15">
    <cfRule type="cellIs" dxfId="114" priority="42" operator="lessThanOrEqual">
      <formula>0</formula>
    </cfRule>
  </conditionalFormatting>
  <conditionalFormatting sqref="M15">
    <cfRule type="expression" dxfId="113" priority="36">
      <formula>AND(M15=0,L15&lt;&gt;"")</formula>
    </cfRule>
  </conditionalFormatting>
  <conditionalFormatting sqref="L15">
    <cfRule type="expression" dxfId="112" priority="37">
      <formula>AND(L15="",M15&gt;0)</formula>
    </cfRule>
  </conditionalFormatting>
  <conditionalFormatting sqref="L15:M15">
    <cfRule type="cellIs" dxfId="111" priority="38" operator="equal">
      <formula>0</formula>
    </cfRule>
  </conditionalFormatting>
  <conditionalFormatting sqref="R15">
    <cfRule type="containsText" dxfId="110" priority="35" operator="containsText" text="Error">
      <formula>NOT(ISERROR(SEARCH("Error",R15)))</formula>
    </cfRule>
  </conditionalFormatting>
  <conditionalFormatting sqref="N15">
    <cfRule type="expression" dxfId="109" priority="34">
      <formula>ISNUMBER(N15)=FALSE</formula>
    </cfRule>
  </conditionalFormatting>
  <conditionalFormatting sqref="H16 K16">
    <cfRule type="expression" dxfId="108" priority="32">
      <formula>ISNUMBER(H16)=FALSE</formula>
    </cfRule>
  </conditionalFormatting>
  <conditionalFormatting sqref="F16:K16">
    <cfRule type="containsBlanks" dxfId="107" priority="29">
      <formula>LEN(TRIM(F16))=0</formula>
    </cfRule>
  </conditionalFormatting>
  <conditionalFormatting sqref="B16:C16">
    <cfRule type="containsBlanks" dxfId="106" priority="30">
      <formula>LEN(TRIM(B16))=0</formula>
    </cfRule>
  </conditionalFormatting>
  <conditionalFormatting sqref="K16">
    <cfRule type="cellIs" dxfId="105" priority="28" operator="lessThan">
      <formula>0</formula>
    </cfRule>
    <cfRule type="cellIs" dxfId="104" priority="33" operator="equal">
      <formula>0</formula>
    </cfRule>
  </conditionalFormatting>
  <conditionalFormatting sqref="H16">
    <cfRule type="cellIs" dxfId="103" priority="31" operator="lessThanOrEqual">
      <formula>0</formula>
    </cfRule>
  </conditionalFormatting>
  <conditionalFormatting sqref="M16">
    <cfRule type="expression" dxfId="102" priority="25">
      <formula>AND(M16=0,L16&lt;&gt;"")</formula>
    </cfRule>
  </conditionalFormatting>
  <conditionalFormatting sqref="L16">
    <cfRule type="expression" dxfId="101" priority="26">
      <formula>AND(L16="",M16&gt;0)</formula>
    </cfRule>
  </conditionalFormatting>
  <conditionalFormatting sqref="L16:M16">
    <cfRule type="cellIs" dxfId="100" priority="27" operator="equal">
      <formula>0</formula>
    </cfRule>
  </conditionalFormatting>
  <conditionalFormatting sqref="R16">
    <cfRule type="containsText" dxfId="99" priority="24" operator="containsText" text="Error">
      <formula>NOT(ISERROR(SEARCH("Error",R16)))</formula>
    </cfRule>
  </conditionalFormatting>
  <conditionalFormatting sqref="N16">
    <cfRule type="expression" dxfId="98" priority="23">
      <formula>ISNUMBER(N16)=FALSE</formula>
    </cfRule>
  </conditionalFormatting>
  <conditionalFormatting sqref="H17 K17">
    <cfRule type="expression" dxfId="97" priority="21">
      <formula>ISNUMBER(H17)=FALSE</formula>
    </cfRule>
  </conditionalFormatting>
  <conditionalFormatting sqref="F17:K17">
    <cfRule type="containsBlanks" dxfId="96" priority="18">
      <formula>LEN(TRIM(F17))=0</formula>
    </cfRule>
  </conditionalFormatting>
  <conditionalFormatting sqref="B17:C17">
    <cfRule type="containsBlanks" dxfId="95" priority="19">
      <formula>LEN(TRIM(B17))=0</formula>
    </cfRule>
  </conditionalFormatting>
  <conditionalFormatting sqref="K17">
    <cfRule type="cellIs" dxfId="94" priority="17" operator="lessThan">
      <formula>0</formula>
    </cfRule>
    <cfRule type="cellIs" dxfId="93" priority="22" operator="equal">
      <formula>0</formula>
    </cfRule>
  </conditionalFormatting>
  <conditionalFormatting sqref="H17">
    <cfRule type="cellIs" dxfId="92" priority="20" operator="lessThanOrEqual">
      <formula>0</formula>
    </cfRule>
  </conditionalFormatting>
  <conditionalFormatting sqref="M17">
    <cfRule type="expression" dxfId="91" priority="14">
      <formula>AND(M17=0,L17&lt;&gt;"")</formula>
    </cfRule>
  </conditionalFormatting>
  <conditionalFormatting sqref="L17">
    <cfRule type="expression" dxfId="90" priority="15">
      <formula>AND(L17="",M17&gt;0)</formula>
    </cfRule>
  </conditionalFormatting>
  <conditionalFormatting sqref="L17:M17">
    <cfRule type="cellIs" dxfId="89" priority="16" operator="equal">
      <formula>0</formula>
    </cfRule>
  </conditionalFormatting>
  <conditionalFormatting sqref="R17">
    <cfRule type="containsText" dxfId="88" priority="13" operator="containsText" text="Error">
      <formula>NOT(ISERROR(SEARCH("Error",R17)))</formula>
    </cfRule>
  </conditionalFormatting>
  <conditionalFormatting sqref="N17">
    <cfRule type="expression" dxfId="87" priority="12">
      <formula>ISNUMBER(N17)=FALSE</formula>
    </cfRule>
  </conditionalFormatting>
  <conditionalFormatting sqref="H18 K18">
    <cfRule type="expression" dxfId="86" priority="10">
      <formula>ISNUMBER(H18)=FALSE</formula>
    </cfRule>
  </conditionalFormatting>
  <conditionalFormatting sqref="F18:K18">
    <cfRule type="containsBlanks" dxfId="85" priority="7">
      <formula>LEN(TRIM(F18))=0</formula>
    </cfRule>
  </conditionalFormatting>
  <conditionalFormatting sqref="B18:C18">
    <cfRule type="containsBlanks" dxfId="84" priority="8">
      <formula>LEN(TRIM(B18))=0</formula>
    </cfRule>
  </conditionalFormatting>
  <conditionalFormatting sqref="K18">
    <cfRule type="cellIs" dxfId="83" priority="6" operator="lessThan">
      <formula>0</formula>
    </cfRule>
    <cfRule type="cellIs" dxfId="82" priority="11" operator="equal">
      <formula>0</formula>
    </cfRule>
  </conditionalFormatting>
  <conditionalFormatting sqref="H18">
    <cfRule type="cellIs" dxfId="81" priority="9" operator="lessThanOrEqual">
      <formula>0</formula>
    </cfRule>
  </conditionalFormatting>
  <conditionalFormatting sqref="M18">
    <cfRule type="expression" dxfId="80" priority="3">
      <formula>AND(M18=0,L18&lt;&gt;"")</formula>
    </cfRule>
  </conditionalFormatting>
  <conditionalFormatting sqref="L18">
    <cfRule type="expression" dxfId="79" priority="4">
      <formula>AND(L18="",M18&gt;0)</formula>
    </cfRule>
  </conditionalFormatting>
  <conditionalFormatting sqref="L18:M18">
    <cfRule type="cellIs" dxfId="78" priority="5" operator="equal">
      <formula>0</formula>
    </cfRule>
  </conditionalFormatting>
  <conditionalFormatting sqref="R18">
    <cfRule type="containsText" dxfId="77" priority="2" operator="containsText" text="Error">
      <formula>NOT(ISERROR(SEARCH("Error",R18)))</formula>
    </cfRule>
  </conditionalFormatting>
  <conditionalFormatting sqref="N18">
    <cfRule type="expression" dxfId="76" priority="1">
      <formula>ISNUMBER(N18)=FALSE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8" xr:uid="{00000000-0002-0000-0300-000000000000}"/>
    <dataValidation allowBlank="1" showInputMessage="1" showErrorMessage="1" error="Please encode City of Destination" prompt="Please encode City of Destination" sqref="I13:I18" xr:uid="{00000000-0002-0000-0300-000001000000}"/>
    <dataValidation type="whole" allowBlank="1" showInputMessage="1" showErrorMessage="1" error="Format error (whole number only)" prompt="Please encode number (whole number only)" sqref="H13:H18" xr:uid="{00000000-0002-0000-0300-000002000000}">
      <formula1>0</formula1>
      <formula2>50000</formula2>
    </dataValidation>
    <dataValidation allowBlank="1" showInputMessage="1" showErrorMessage="1" error="Please encode City of Departure" prompt="Please encode City of Departure" sqref="F13:F18"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8" xr:uid="{00000000-0002-0000-0300-000004000000}">
      <formula1>0</formula1>
      <formula2>90</formula2>
    </dataValidation>
    <dataValidation type="list" allowBlank="1" showInputMessage="1" showErrorMessage="1" error="Click arrow to select Category" prompt="Click arrow to select Category" sqref="G13:G18" xr:uid="{00000000-0002-0000-0300-000005000000}">
      <formula1>Category2</formula1>
    </dataValidation>
    <dataValidation type="list" allowBlank="1" showInputMessage="1" showErrorMessage="1" error="Click arrow to select Work Package" prompt="Click arrow to select Work Package" sqref="B13:B18" xr:uid="{00000000-0002-0000-0300-000006000000}">
      <formula1>WorkPackage</formula1>
    </dataValidation>
    <dataValidation type="list" allowBlank="1" showInputMessage="1" showErrorMessage="1" error="Click arrow to select Distance" prompt="Click arrow to select Distance" sqref="J13:J18" xr:uid="{00000000-0002-0000-0300-000007000000}">
      <formula1>TravelBands</formula1>
    </dataValidation>
    <dataValidation type="list" allowBlank="1" showInputMessage="1" showErrorMessage="1" error="Click arrow to select Partner N°" prompt="Click arrow to select Partner N°" sqref="C13:C18" xr:uid="{00000000-0002-0000-0300-000008000000}">
      <formula1>PartnerN°</formula1>
    </dataValidation>
    <dataValidation type="list" allowBlank="1" showInputMessage="1" showErrorMessage="1" errorTitle="Select correct option" error="Please use the drop down menu to select the correct option" sqref="L13:L18" xr:uid="{00000000-0002-0000-0300-000009000000}">
      <formula1>Exceptional_costs</formula1>
    </dataValidation>
    <dataValidation type="decimal" operator="greaterThanOrEqual" allowBlank="1" showInputMessage="1" showErrorMessage="1" errorTitle="Warning: Cost must be number" error="Please enter a numeric value." sqref="M13:M18"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8"/>
  <sheetViews>
    <sheetView showGridLines="0" zoomScale="53" zoomScaleNormal="53" zoomScaleSheetLayoutView="55" workbookViewId="0">
      <pane ySplit="13" topLeftCell="A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2"/>
      <c r="C1" s="172"/>
      <c r="D1" s="172"/>
      <c r="E1" s="172"/>
      <c r="F1" s="172"/>
      <c r="G1" s="172"/>
      <c r="H1" s="172"/>
      <c r="I1" s="172"/>
    </row>
    <row r="2" spans="2:9" s="20" customFormat="1" ht="39.950000000000003" customHeight="1">
      <c r="B2" s="146" t="s">
        <v>185</v>
      </c>
      <c r="C2" s="146"/>
      <c r="D2" s="146"/>
      <c r="E2" s="146"/>
      <c r="F2" s="146"/>
      <c r="G2" s="146"/>
      <c r="H2" s="146"/>
      <c r="I2" s="146"/>
    </row>
    <row r="3" spans="2:9" s="20" customFormat="1" ht="8.1" customHeight="1">
      <c r="B3" s="140"/>
      <c r="C3" s="141"/>
      <c r="D3" s="141"/>
      <c r="E3" s="141"/>
      <c r="F3" s="141"/>
      <c r="G3" s="141"/>
      <c r="H3" s="141"/>
      <c r="I3" s="142"/>
    </row>
    <row r="4" spans="2:9" s="20" customFormat="1" ht="9.9499999999999993" customHeight="1">
      <c r="B4" s="175" t="s">
        <v>184</v>
      </c>
      <c r="C4" s="178">
        <f>SUM(H:H)</f>
        <v>43000</v>
      </c>
      <c r="D4" s="179"/>
      <c r="E4" s="136"/>
      <c r="F4" s="137"/>
      <c r="G4" s="137"/>
      <c r="H4" s="137"/>
      <c r="I4" s="138"/>
    </row>
    <row r="5" spans="2:9" s="20" customFormat="1" ht="9.9499999999999993" customHeight="1">
      <c r="B5" s="176"/>
      <c r="C5" s="180"/>
      <c r="D5" s="181"/>
      <c r="E5" s="136"/>
      <c r="F5" s="137"/>
      <c r="G5" s="137"/>
      <c r="H5" s="137"/>
      <c r="I5" s="138"/>
    </row>
    <row r="6" spans="2:9" s="20" customFormat="1" ht="9.9499999999999993" customHeight="1">
      <c r="B6" s="176"/>
      <c r="C6" s="180"/>
      <c r="D6" s="181"/>
      <c r="E6" s="136"/>
      <c r="F6" s="137"/>
      <c r="G6" s="137"/>
      <c r="H6" s="137"/>
      <c r="I6" s="138"/>
    </row>
    <row r="7" spans="2:9" s="20" customFormat="1" ht="9.9499999999999993" customHeight="1">
      <c r="B7" s="176"/>
      <c r="C7" s="180"/>
      <c r="D7" s="181"/>
      <c r="E7" s="136"/>
      <c r="F7" s="137"/>
      <c r="G7" s="137"/>
      <c r="H7" s="137"/>
      <c r="I7" s="138"/>
    </row>
    <row r="8" spans="2:9" s="20" customFormat="1" ht="9.9499999999999993" customHeight="1">
      <c r="B8" s="176"/>
      <c r="C8" s="180"/>
      <c r="D8" s="181"/>
      <c r="E8" s="136"/>
      <c r="F8" s="137"/>
      <c r="G8" s="137"/>
      <c r="H8" s="137"/>
      <c r="I8" s="138"/>
    </row>
    <row r="9" spans="2:9" s="20" customFormat="1" ht="9.9499999999999993" customHeight="1">
      <c r="B9" s="177"/>
      <c r="C9" s="182"/>
      <c r="D9" s="183"/>
      <c r="E9" s="136"/>
      <c r="F9" s="137"/>
      <c r="G9" s="137"/>
      <c r="H9" s="137"/>
      <c r="I9" s="138"/>
    </row>
    <row r="10" spans="2:9" s="20" customFormat="1" ht="8.1" customHeight="1">
      <c r="B10" s="132"/>
      <c r="C10" s="139"/>
      <c r="D10" s="139"/>
      <c r="E10" s="139"/>
      <c r="F10" s="139"/>
      <c r="G10" s="139"/>
      <c r="H10" s="139"/>
      <c r="I10" s="133"/>
    </row>
    <row r="11" spans="2:9" s="45" customFormat="1" ht="42" customHeight="1">
      <c r="B11" s="122" t="s">
        <v>162</v>
      </c>
      <c r="C11" s="122" t="s">
        <v>147</v>
      </c>
      <c r="D11" s="122" t="s">
        <v>216</v>
      </c>
      <c r="E11" s="174" t="s">
        <v>217</v>
      </c>
      <c r="F11" s="124" t="s">
        <v>132</v>
      </c>
      <c r="G11" s="173" t="s">
        <v>165</v>
      </c>
      <c r="H11" s="173" t="s">
        <v>164</v>
      </c>
      <c r="I11" s="173" t="s">
        <v>218</v>
      </c>
    </row>
    <row r="12" spans="2:9" ht="23.85" customHeight="1">
      <c r="B12" s="123"/>
      <c r="C12" s="123"/>
      <c r="D12" s="123"/>
      <c r="E12" s="124"/>
      <c r="F12" s="123"/>
      <c r="G12" s="123"/>
      <c r="H12" s="123"/>
      <c r="I12" s="123"/>
    </row>
    <row r="13" spans="2:9" s="34" customFormat="1" hidden="1">
      <c r="B13" s="14"/>
      <c r="C13" s="19"/>
      <c r="D13" s="42" t="str">
        <f t="shared" ref="D13:D17" si="0">IFERROR(IF(VLOOKUP(C13,PartnerN°Ref,2,FALSE)=0,"",VLOOKUP(C13,PartnerN°Ref,2,FALSE)),"")</f>
        <v/>
      </c>
      <c r="E13" s="42" t="str">
        <f t="shared" ref="E13:E17" si="1">IFERROR(IF(OR(VLOOKUP(C13,PartnerN°Ref,4,FALSE)="Country not found",VLOOKUP(C13,PartnerN°Ref,3,FALSE)=0),"",VLOOKUP(C13,PartnerN°Ref,3,FALSE)),"")</f>
        <v/>
      </c>
      <c r="F13" s="18"/>
      <c r="G13" s="35">
        <v>0</v>
      </c>
      <c r="H13" s="36">
        <f t="shared" ref="H13:H17" si="2">IF(I13="Error",0,ROUND(G13,2))</f>
        <v>0</v>
      </c>
      <c r="I13" s="33" t="str">
        <f t="shared" ref="I13:I17" si="3">IF(OR(COUNTIF(WorkPackage,B13)=0,COUNTIF(PartnerN°,C13)=0,D13="",COUNTIF(CountryEligEquip,E13)=0,F13="",ISNUMBER(G13)=FALSE,IF(ISNUMBER(G13)=TRUE,G13=INT(G13*100)/100=FALSE)),"Error","")</f>
        <v>Error</v>
      </c>
    </row>
    <row r="14" spans="2:9" s="34" customFormat="1">
      <c r="B14" s="14" t="s">
        <v>173</v>
      </c>
      <c r="C14" s="19" t="s">
        <v>15</v>
      </c>
      <c r="D14" s="42" t="str">
        <f t="shared" si="0"/>
        <v>Intellias</v>
      </c>
      <c r="E14" s="42" t="str">
        <f t="shared" si="1"/>
        <v>Ukraine</v>
      </c>
      <c r="F14" s="18" t="s">
        <v>386</v>
      </c>
      <c r="G14" s="35">
        <v>6000</v>
      </c>
      <c r="H14" s="36">
        <f t="shared" si="2"/>
        <v>6000</v>
      </c>
      <c r="I14" s="33" t="str">
        <f t="shared" si="3"/>
        <v/>
      </c>
    </row>
    <row r="15" spans="2:9" s="34" customFormat="1">
      <c r="B15" s="14" t="s">
        <v>172</v>
      </c>
      <c r="C15" s="19" t="s">
        <v>16</v>
      </c>
      <c r="D15" s="42" t="str">
        <f t="shared" si="0"/>
        <v>GEBRÜDER WEISS LLC</v>
      </c>
      <c r="E15" s="42" t="str">
        <f t="shared" si="1"/>
        <v>Georgia</v>
      </c>
      <c r="F15" s="18" t="s">
        <v>387</v>
      </c>
      <c r="G15" s="35">
        <v>25000</v>
      </c>
      <c r="H15" s="36">
        <f t="shared" si="2"/>
        <v>25000</v>
      </c>
      <c r="I15" s="33" t="str">
        <f t="shared" si="3"/>
        <v/>
      </c>
    </row>
    <row r="16" spans="2:9" s="34" customFormat="1">
      <c r="B16" s="14" t="s">
        <v>318</v>
      </c>
      <c r="C16" s="19" t="s">
        <v>15</v>
      </c>
      <c r="D16" s="42" t="str">
        <f t="shared" si="0"/>
        <v>Intellias</v>
      </c>
      <c r="E16" s="42" t="str">
        <f t="shared" si="1"/>
        <v>Ukraine</v>
      </c>
      <c r="F16" s="18" t="s">
        <v>388</v>
      </c>
      <c r="G16" s="35">
        <v>4000</v>
      </c>
      <c r="H16" s="36">
        <f t="shared" si="2"/>
        <v>4000</v>
      </c>
      <c r="I16" s="33" t="str">
        <f t="shared" si="3"/>
        <v/>
      </c>
    </row>
    <row r="17" spans="2:9" s="34" customFormat="1">
      <c r="B17" s="14" t="s">
        <v>319</v>
      </c>
      <c r="C17" s="19" t="s">
        <v>16</v>
      </c>
      <c r="D17" s="42" t="str">
        <f t="shared" si="0"/>
        <v>GEBRÜDER WEISS LLC</v>
      </c>
      <c r="E17" s="42" t="str">
        <f t="shared" si="1"/>
        <v>Georgia</v>
      </c>
      <c r="F17" s="18" t="s">
        <v>389</v>
      </c>
      <c r="G17" s="35">
        <v>3000</v>
      </c>
      <c r="H17" s="36">
        <f t="shared" si="2"/>
        <v>3000</v>
      </c>
      <c r="I17" s="33" t="str">
        <f t="shared" si="3"/>
        <v/>
      </c>
    </row>
    <row r="18" spans="2:9" s="34" customFormat="1">
      <c r="B18" s="14" t="s">
        <v>174</v>
      </c>
      <c r="C18" s="19" t="s">
        <v>15</v>
      </c>
      <c r="D18" s="42" t="str">
        <f t="shared" ref="D18" si="4">IFERROR(IF(VLOOKUP(C18,PartnerN°Ref,2,FALSE)=0,"",VLOOKUP(C18,PartnerN°Ref,2,FALSE)),"")</f>
        <v>Intellias</v>
      </c>
      <c r="E18" s="42" t="str">
        <f t="shared" ref="E18" si="5">IFERROR(IF(OR(VLOOKUP(C18,PartnerN°Ref,4,FALSE)="Country not found",VLOOKUP(C18,PartnerN°Ref,3,FALSE)=0),"",VLOOKUP(C18,PartnerN°Ref,3,FALSE)),"")</f>
        <v>Ukraine</v>
      </c>
      <c r="F18" s="18" t="s">
        <v>390</v>
      </c>
      <c r="G18" s="35">
        <v>5000</v>
      </c>
      <c r="H18" s="36">
        <f t="shared" ref="H18" si="6">IF(I18="Error",0,ROUND(G18,2))</f>
        <v>5000</v>
      </c>
      <c r="I18" s="33" t="str">
        <f t="shared" ref="I18" si="7">IF(OR(COUNTIF(WorkPackage,B18)=0,COUNTIF(PartnerN°,C18)=0,D18="",COUNTIF(CountryEligEquip,E18)=0,F18="",ISNUMBER(G18)=FALSE,IF(ISNUMBER(G18)=TRUE,G18=INT(G18*100)/100=FALSE)),"Error","")</f>
        <v/>
      </c>
    </row>
  </sheetData>
  <sheetProtection algorithmName="SHA-512" hashValue="auZ4Y/8fNuJObmflK52yxzfXBEgrSGbmyIiBl7QbtwCERJ9OgHUxg6bPcFPcw+6SZypUxlY8aWa3Q8tnfaWfzg==" saltValue="4bdFE5t690X0PrxTD6UvT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8">
    <cfRule type="containsText" dxfId="75" priority="388" operator="containsText" text="Error">
      <formula>NOT(ISERROR(SEARCH("Error",I13)))</formula>
    </cfRule>
  </conditionalFormatting>
  <conditionalFormatting sqref="D13:E18">
    <cfRule type="containsBlanks" dxfId="74" priority="383">
      <formula>LEN(TRIM(D13))=0</formula>
    </cfRule>
  </conditionalFormatting>
  <conditionalFormatting sqref="E13">
    <cfRule type="expression" dxfId="73" priority="305">
      <formula>COUNTIF(CountryEligEquip,E13)=0</formula>
    </cfRule>
  </conditionalFormatting>
  <conditionalFormatting sqref="E14">
    <cfRule type="expression" dxfId="72" priority="306">
      <formula>COUNTIF(CountryEligEquip,E14)=0</formula>
    </cfRule>
  </conditionalFormatting>
  <conditionalFormatting sqref="G13">
    <cfRule type="cellIs" dxfId="71" priority="34" operator="lessThanOrEqual">
      <formula>0</formula>
    </cfRule>
  </conditionalFormatting>
  <conditionalFormatting sqref="F13:G13">
    <cfRule type="containsBlanks" dxfId="70" priority="31">
      <formula>LEN(TRIM(F13))=0</formula>
    </cfRule>
  </conditionalFormatting>
  <conditionalFormatting sqref="G14">
    <cfRule type="cellIs" dxfId="69" priority="30" operator="lessThanOrEqual">
      <formula>0</formula>
    </cfRule>
  </conditionalFormatting>
  <conditionalFormatting sqref="F14:G14">
    <cfRule type="containsBlanks" dxfId="68" priority="29">
      <formula>LEN(TRIM(F14))=0</formula>
    </cfRule>
  </conditionalFormatting>
  <conditionalFormatting sqref="B13:C13">
    <cfRule type="containsBlanks" dxfId="67" priority="28">
      <formula>LEN(TRIM(B13))=0</formula>
    </cfRule>
  </conditionalFormatting>
  <conditionalFormatting sqref="B14:C14">
    <cfRule type="containsBlanks" dxfId="66" priority="27">
      <formula>LEN(TRIM(B14))=0</formula>
    </cfRule>
  </conditionalFormatting>
  <conditionalFormatting sqref="E15">
    <cfRule type="expression" dxfId="65" priority="20">
      <formula>COUNTIF(CountryEligEquip,E15)=0</formula>
    </cfRule>
  </conditionalFormatting>
  <conditionalFormatting sqref="G15">
    <cfRule type="cellIs" dxfId="64" priority="19" operator="lessThanOrEqual">
      <formula>0</formula>
    </cfRule>
  </conditionalFormatting>
  <conditionalFormatting sqref="F15:G15">
    <cfRule type="containsBlanks" dxfId="63" priority="18">
      <formula>LEN(TRIM(F15))=0</formula>
    </cfRule>
  </conditionalFormatting>
  <conditionalFormatting sqref="B15:C15">
    <cfRule type="containsBlanks" dxfId="62" priority="17">
      <formula>LEN(TRIM(B15))=0</formula>
    </cfRule>
  </conditionalFormatting>
  <conditionalFormatting sqref="E16">
    <cfRule type="expression" dxfId="61" priority="16">
      <formula>COUNTIF(CountryEligEquip,E16)=0</formula>
    </cfRule>
  </conditionalFormatting>
  <conditionalFormatting sqref="G16">
    <cfRule type="cellIs" dxfId="60" priority="15" operator="lessThanOrEqual">
      <formula>0</formula>
    </cfRule>
  </conditionalFormatting>
  <conditionalFormatting sqref="F16:G16">
    <cfRule type="containsBlanks" dxfId="59" priority="14">
      <formula>LEN(TRIM(F16))=0</formula>
    </cfRule>
  </conditionalFormatting>
  <conditionalFormatting sqref="B16:C16">
    <cfRule type="containsBlanks" dxfId="58" priority="13">
      <formula>LEN(TRIM(B16))=0</formula>
    </cfRule>
  </conditionalFormatting>
  <conditionalFormatting sqref="E17">
    <cfRule type="expression" dxfId="57" priority="12">
      <formula>COUNTIF(CountryEligEquip,E17)=0</formula>
    </cfRule>
  </conditionalFormatting>
  <conditionalFormatting sqref="G17">
    <cfRule type="cellIs" dxfId="56" priority="11" operator="lessThanOrEqual">
      <formula>0</formula>
    </cfRule>
  </conditionalFormatting>
  <conditionalFormatting sqref="F17:G17">
    <cfRule type="containsBlanks" dxfId="55" priority="10">
      <formula>LEN(TRIM(F17))=0</formula>
    </cfRule>
  </conditionalFormatting>
  <conditionalFormatting sqref="B17:C17">
    <cfRule type="containsBlanks" dxfId="54" priority="9">
      <formula>LEN(TRIM(B17))=0</formula>
    </cfRule>
  </conditionalFormatting>
  <conditionalFormatting sqref="E18">
    <cfRule type="expression" dxfId="53" priority="4">
      <formula>COUNTIF(CountryEligEquip,E18)=0</formula>
    </cfRule>
  </conditionalFormatting>
  <conditionalFormatting sqref="G18">
    <cfRule type="cellIs" dxfId="52" priority="3" operator="lessThanOrEqual">
      <formula>0</formula>
    </cfRule>
  </conditionalFormatting>
  <conditionalFormatting sqref="F18:G18">
    <cfRule type="containsBlanks" dxfId="51" priority="2">
      <formula>LEN(TRIM(F18))=0</formula>
    </cfRule>
  </conditionalFormatting>
  <conditionalFormatting sqref="B18:C18">
    <cfRule type="containsBlanks" dxfId="50" priority="1">
      <formula>LEN(TRIM(B18))=0</formula>
    </cfRule>
  </conditionalFormatting>
  <dataValidations xWindow="844" yWindow="520" count="4">
    <dataValidation type="custom" allowBlank="1" showInputMessage="1" showErrorMessage="1" error="Format error (2 decimals only)" prompt="Please encode amount (2 decimals only)" sqref="G13:G18" xr:uid="{00000000-0002-0000-0400-000000000000}">
      <formula1>G13=INT(G13*100)/100</formula1>
    </dataValidation>
    <dataValidation allowBlank="1" showInputMessage="1" showErrorMessage="1" error="Please encode Nature, type and specifications" prompt="Please encode Nature, type and specifications" sqref="F13:F18" xr:uid="{00000000-0002-0000-0400-000001000000}"/>
    <dataValidation type="list" allowBlank="1" showInputMessage="1" showErrorMessage="1" error="Click arrow to select Work Package" prompt="Click arrow to select Work Package" sqref="B13:B18" xr:uid="{00000000-0002-0000-0400-000002000000}">
      <formula1>WorkPackage</formula1>
    </dataValidation>
    <dataValidation type="list" allowBlank="1" showInputMessage="1" showErrorMessage="1" error="Click arrow to select Partner N°" prompt="Click arrow to select Partner N°" sqref="C13:C1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8"/>
  <sheetViews>
    <sheetView showGridLines="0" zoomScale="55" zoomScaleNormal="55" zoomScaleSheetLayoutView="55" workbookViewId="0">
      <pane ySplit="13" topLeftCell="A14" activePane="bottomLeft" state="frozen"/>
      <selection pane="bottomLeft" activeCell="F14" sqref="F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2"/>
      <c r="C1" s="172"/>
      <c r="D1" s="172"/>
      <c r="E1" s="172"/>
      <c r="F1" s="172"/>
      <c r="G1" s="172"/>
      <c r="H1" s="172"/>
      <c r="I1" s="172"/>
    </row>
    <row r="2" spans="2:9" s="20" customFormat="1" ht="39.950000000000003" customHeight="1">
      <c r="B2" s="146" t="s">
        <v>186</v>
      </c>
      <c r="C2" s="146"/>
      <c r="D2" s="146"/>
      <c r="E2" s="146"/>
      <c r="F2" s="146"/>
      <c r="G2" s="146"/>
      <c r="H2" s="146"/>
      <c r="I2" s="146"/>
    </row>
    <row r="3" spans="2:9" s="20" customFormat="1" ht="8.1" customHeight="1">
      <c r="B3" s="140"/>
      <c r="C3" s="141"/>
      <c r="D3" s="141"/>
      <c r="E3" s="141"/>
      <c r="F3" s="141"/>
      <c r="G3" s="141"/>
      <c r="H3" s="141"/>
      <c r="I3" s="142"/>
    </row>
    <row r="4" spans="2:9" s="20" customFormat="1" ht="9.9499999999999993" customHeight="1">
      <c r="B4" s="175" t="s">
        <v>184</v>
      </c>
      <c r="C4" s="178">
        <f>SUM(H:H)</f>
        <v>18841.7</v>
      </c>
      <c r="D4" s="179"/>
      <c r="E4" s="136"/>
      <c r="F4" s="137"/>
      <c r="G4" s="137"/>
      <c r="H4" s="137"/>
      <c r="I4" s="138"/>
    </row>
    <row r="5" spans="2:9" s="20" customFormat="1" ht="9.9499999999999993" customHeight="1">
      <c r="B5" s="176"/>
      <c r="C5" s="180"/>
      <c r="D5" s="181"/>
      <c r="E5" s="136"/>
      <c r="F5" s="137"/>
      <c r="G5" s="137"/>
      <c r="H5" s="137"/>
      <c r="I5" s="138"/>
    </row>
    <row r="6" spans="2:9" s="20" customFormat="1" ht="9.9499999999999993" customHeight="1">
      <c r="B6" s="176"/>
      <c r="C6" s="180"/>
      <c r="D6" s="181"/>
      <c r="E6" s="136"/>
      <c r="F6" s="137"/>
      <c r="G6" s="137"/>
      <c r="H6" s="137"/>
      <c r="I6" s="138"/>
    </row>
    <row r="7" spans="2:9" s="20" customFormat="1" ht="9.9499999999999993" customHeight="1">
      <c r="B7" s="176"/>
      <c r="C7" s="180"/>
      <c r="D7" s="181"/>
      <c r="E7" s="136"/>
      <c r="F7" s="137"/>
      <c r="G7" s="137"/>
      <c r="H7" s="137"/>
      <c r="I7" s="138"/>
    </row>
    <row r="8" spans="2:9" s="20" customFormat="1" ht="9.9499999999999993" customHeight="1">
      <c r="B8" s="176"/>
      <c r="C8" s="180"/>
      <c r="D8" s="181"/>
      <c r="E8" s="136"/>
      <c r="F8" s="137"/>
      <c r="G8" s="137"/>
      <c r="H8" s="137"/>
      <c r="I8" s="138"/>
    </row>
    <row r="9" spans="2:9" s="20" customFormat="1" ht="9.9499999999999993" customHeight="1">
      <c r="B9" s="177"/>
      <c r="C9" s="182"/>
      <c r="D9" s="183"/>
      <c r="E9" s="136"/>
      <c r="F9" s="137"/>
      <c r="G9" s="137"/>
      <c r="H9" s="137"/>
      <c r="I9" s="138"/>
    </row>
    <row r="10" spans="2:9" s="20" customFormat="1" ht="8.1" customHeight="1">
      <c r="B10" s="132"/>
      <c r="C10" s="139"/>
      <c r="D10" s="139"/>
      <c r="E10" s="139"/>
      <c r="F10" s="139"/>
      <c r="G10" s="139"/>
      <c r="H10" s="139"/>
      <c r="I10" s="133"/>
    </row>
    <row r="11" spans="2:9" s="45" customFormat="1" ht="42" customHeight="1">
      <c r="B11" s="122" t="s">
        <v>162</v>
      </c>
      <c r="C11" s="122" t="s">
        <v>147</v>
      </c>
      <c r="D11" s="122" t="s">
        <v>216</v>
      </c>
      <c r="E11" s="122" t="s">
        <v>217</v>
      </c>
      <c r="F11" s="124" t="s">
        <v>132</v>
      </c>
      <c r="G11" s="173" t="s">
        <v>165</v>
      </c>
      <c r="H11" s="173" t="s">
        <v>164</v>
      </c>
      <c r="I11" s="173" t="s">
        <v>218</v>
      </c>
    </row>
    <row r="12" spans="2:9" ht="23.85" customHeight="1">
      <c r="B12" s="123"/>
      <c r="C12" s="123"/>
      <c r="D12" s="123"/>
      <c r="E12" s="123"/>
      <c r="F12" s="123"/>
      <c r="G12" s="123"/>
      <c r="H12" s="123"/>
      <c r="I12" s="123"/>
    </row>
    <row r="13" spans="2:9" s="34" customFormat="1" hidden="1">
      <c r="B13" s="14"/>
      <c r="C13" s="19"/>
      <c r="D13" s="42" t="str">
        <f t="shared" ref="D13:D18" si="0">IFERROR(IF(VLOOKUP(C13,PartnerN°Ref,2,FALSE)=0,"",VLOOKUP(C13,PartnerN°Ref,2,FALSE)),"")</f>
        <v/>
      </c>
      <c r="E13" s="42" t="str">
        <f t="shared" ref="E13:E18" si="1">IFERROR(IF(OR(VLOOKUP(C13,PartnerN°Ref,4,FALSE)="Country not found",VLOOKUP(C13,PartnerN°Ref,3,FALSE)=0),"",VLOOKUP(C13,PartnerN°Ref,3,FALSE)),"")</f>
        <v/>
      </c>
      <c r="F13" s="18"/>
      <c r="G13" s="35">
        <v>0</v>
      </c>
      <c r="H13" s="36">
        <f t="shared" ref="H13:H18" si="2">IF(I13="Error",0,ROUND(G13,2))</f>
        <v>0</v>
      </c>
      <c r="I13" s="33" t="str">
        <f t="shared" ref="I13:I18" si="3">IF(OR(COUNTIF(WorkPackage,B13)=0,COUNTIF(PartnerN°,C13)=0,D13="",COUNTIF(CountryALL,E13)=0,F13="",ISNUMBER(G13)=FALSE,IF(ISNUMBER(G13)=TRUE,G13=INT(G13*100)/100=FALSE)),"Error","")</f>
        <v>Error</v>
      </c>
    </row>
    <row r="14" spans="2:9" s="34" customFormat="1">
      <c r="B14" s="14" t="s">
        <v>173</v>
      </c>
      <c r="C14" s="19" t="s">
        <v>8</v>
      </c>
      <c r="D14" s="42" t="str">
        <f t="shared" si="0"/>
        <v>Univerzitet u Beogradu</v>
      </c>
      <c r="E14" s="42" t="str">
        <f t="shared" si="1"/>
        <v>Serbia</v>
      </c>
      <c r="F14" s="18" t="s">
        <v>375</v>
      </c>
      <c r="G14" s="35">
        <v>5000</v>
      </c>
      <c r="H14" s="36">
        <f t="shared" si="2"/>
        <v>5000</v>
      </c>
      <c r="I14" s="33" t="str">
        <f t="shared" si="3"/>
        <v/>
      </c>
    </row>
    <row r="15" spans="2:9" s="34" customFormat="1">
      <c r="B15" s="14" t="s">
        <v>172</v>
      </c>
      <c r="C15" s="19" t="s">
        <v>13</v>
      </c>
      <c r="D15" s="42" t="str">
        <f t="shared" si="0"/>
        <v>Vega IT</v>
      </c>
      <c r="E15" s="42" t="str">
        <f t="shared" si="1"/>
        <v>Serbia</v>
      </c>
      <c r="F15" s="99" t="s">
        <v>376</v>
      </c>
      <c r="G15" s="35">
        <v>6000</v>
      </c>
      <c r="H15" s="36">
        <f t="shared" si="2"/>
        <v>6000</v>
      </c>
      <c r="I15" s="33" t="str">
        <f t="shared" si="3"/>
        <v/>
      </c>
    </row>
    <row r="16" spans="2:9" s="34" customFormat="1">
      <c r="B16" s="14" t="s">
        <v>318</v>
      </c>
      <c r="C16" s="19" t="s">
        <v>10</v>
      </c>
      <c r="D16" s="42" t="str">
        <f t="shared" si="0"/>
        <v>Univerzitet u Nišu</v>
      </c>
      <c r="E16" s="42" t="str">
        <f t="shared" si="1"/>
        <v>Serbia</v>
      </c>
      <c r="F16" s="99" t="s">
        <v>377</v>
      </c>
      <c r="G16" s="35">
        <v>3841.7</v>
      </c>
      <c r="H16" s="36">
        <f t="shared" si="2"/>
        <v>3841.7</v>
      </c>
      <c r="I16" s="33" t="str">
        <f t="shared" si="3"/>
        <v/>
      </c>
    </row>
    <row r="17" spans="2:9" s="34" customFormat="1">
      <c r="B17" s="14" t="s">
        <v>319</v>
      </c>
      <c r="C17" s="19" t="s">
        <v>11</v>
      </c>
      <c r="D17" s="42" t="str">
        <f t="shared" si="0"/>
        <v>Univerzitet u Kragujevcu</v>
      </c>
      <c r="E17" s="42" t="str">
        <f t="shared" si="1"/>
        <v>Serbia</v>
      </c>
      <c r="F17" s="99" t="s">
        <v>378</v>
      </c>
      <c r="G17" s="35">
        <v>3000</v>
      </c>
      <c r="H17" s="36">
        <f t="shared" si="2"/>
        <v>3000</v>
      </c>
      <c r="I17" s="33" t="str">
        <f t="shared" si="3"/>
        <v/>
      </c>
    </row>
    <row r="18" spans="2:9" s="34" customFormat="1">
      <c r="B18" s="14" t="s">
        <v>174</v>
      </c>
      <c r="C18" s="19" t="s">
        <v>14</v>
      </c>
      <c r="D18" s="42" t="str">
        <f t="shared" si="0"/>
        <v>Quantox Technology</v>
      </c>
      <c r="E18" s="42" t="str">
        <f t="shared" si="1"/>
        <v>Serbia</v>
      </c>
      <c r="F18" s="99" t="s">
        <v>379</v>
      </c>
      <c r="G18" s="35">
        <v>1000</v>
      </c>
      <c r="H18" s="36">
        <f t="shared" si="2"/>
        <v>1000</v>
      </c>
      <c r="I18" s="33" t="str">
        <f t="shared" si="3"/>
        <v/>
      </c>
    </row>
  </sheetData>
  <sheetProtection algorithmName="SHA-512" hashValue="aoNFPdHiAI30umw2Fphy24iXYJWZcJ2lm10IxmN0zDkmqjve71adUVuuYPA88FgemAASs533+fehk9/TFZ1r+w==" saltValue="eTpNRA7QMgBRsDUK4MuTbg=="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8">
    <cfRule type="containsText" dxfId="49" priority="201" operator="containsText" text="Error">
      <formula>NOT(ISERROR(SEARCH("Error",I13)))</formula>
    </cfRule>
  </conditionalFormatting>
  <conditionalFormatting sqref="D13:E18">
    <cfRule type="containsBlanks" dxfId="48" priority="195">
      <formula>LEN(TRIM(D13))=0</formula>
    </cfRule>
  </conditionalFormatting>
  <conditionalFormatting sqref="G13">
    <cfRule type="cellIs" dxfId="47" priority="20" operator="lessThanOrEqual">
      <formula>0</formula>
    </cfRule>
  </conditionalFormatting>
  <conditionalFormatting sqref="F13:G13">
    <cfRule type="containsBlanks" dxfId="46" priority="17">
      <formula>LEN(TRIM(F13))=0</formula>
    </cfRule>
  </conditionalFormatting>
  <conditionalFormatting sqref="G14">
    <cfRule type="cellIs" dxfId="45" priority="16" operator="lessThanOrEqual">
      <formula>0</formula>
    </cfRule>
  </conditionalFormatting>
  <conditionalFormatting sqref="F14:G14">
    <cfRule type="containsBlanks" dxfId="44" priority="15">
      <formula>LEN(TRIM(F14))=0</formula>
    </cfRule>
  </conditionalFormatting>
  <conditionalFormatting sqref="B13:C13">
    <cfRule type="containsBlanks" dxfId="43" priority="14">
      <formula>LEN(TRIM(B13))=0</formula>
    </cfRule>
  </conditionalFormatting>
  <conditionalFormatting sqref="B14:C14">
    <cfRule type="containsBlanks" dxfId="42" priority="13">
      <formula>LEN(TRIM(B14))=0</formula>
    </cfRule>
  </conditionalFormatting>
  <conditionalFormatting sqref="G15">
    <cfRule type="cellIs" dxfId="41" priority="12" operator="lessThanOrEqual">
      <formula>0</formula>
    </cfRule>
  </conditionalFormatting>
  <conditionalFormatting sqref="F15:G15">
    <cfRule type="containsBlanks" dxfId="40" priority="11">
      <formula>LEN(TRIM(F15))=0</formula>
    </cfRule>
  </conditionalFormatting>
  <conditionalFormatting sqref="B15:C15">
    <cfRule type="containsBlanks" dxfId="39" priority="10">
      <formula>LEN(TRIM(B15))=0</formula>
    </cfRule>
  </conditionalFormatting>
  <conditionalFormatting sqref="G16">
    <cfRule type="cellIs" dxfId="38" priority="9" operator="lessThanOrEqual">
      <formula>0</formula>
    </cfRule>
  </conditionalFormatting>
  <conditionalFormatting sqref="F16:G16">
    <cfRule type="containsBlanks" dxfId="37" priority="8">
      <formula>LEN(TRIM(F16))=0</formula>
    </cfRule>
  </conditionalFormatting>
  <conditionalFormatting sqref="B16:C16">
    <cfRule type="containsBlanks" dxfId="36" priority="7">
      <formula>LEN(TRIM(B16))=0</formula>
    </cfRule>
  </conditionalFormatting>
  <conditionalFormatting sqref="G17">
    <cfRule type="cellIs" dxfId="35" priority="6" operator="lessThanOrEqual">
      <formula>0</formula>
    </cfRule>
  </conditionalFormatting>
  <conditionalFormatting sqref="F17:G17">
    <cfRule type="containsBlanks" dxfId="34" priority="5">
      <formula>LEN(TRIM(F17))=0</formula>
    </cfRule>
  </conditionalFormatting>
  <conditionalFormatting sqref="B17:C17">
    <cfRule type="containsBlanks" dxfId="33" priority="4">
      <formula>LEN(TRIM(B17))=0</formula>
    </cfRule>
  </conditionalFormatting>
  <conditionalFormatting sqref="G18">
    <cfRule type="cellIs" dxfId="32" priority="3" operator="lessThanOrEqual">
      <formula>0</formula>
    </cfRule>
  </conditionalFormatting>
  <conditionalFormatting sqref="F18:G18">
    <cfRule type="containsBlanks" dxfId="31" priority="2">
      <formula>LEN(TRIM(F18))=0</formula>
    </cfRule>
  </conditionalFormatting>
  <conditionalFormatting sqref="B18:C18">
    <cfRule type="containsBlanks" dxfId="30" priority="1">
      <formula>LEN(TRIM(B18))=0</formula>
    </cfRule>
  </conditionalFormatting>
  <dataValidations xWindow="126" yWindow="424" count="4">
    <dataValidation type="custom" allowBlank="1" showInputMessage="1" showErrorMessage="1" error="Format error (2 decimals only)" prompt="Please encode amount (2 decimals only)" sqref="G13:G18"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8" xr:uid="{00000000-0002-0000-0500-000002000000}">
      <formula1>WorkPackage</formula1>
    </dataValidation>
    <dataValidation type="list" allowBlank="1" showInputMessage="1" showErrorMessage="1" error="Click arrow to select Partner N°" prompt="Click arrow to select Partner N°" sqref="C13:C18"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tabSelected="1" zoomScale="57" zoomScaleNormal="57" zoomScaleSheetLayoutView="55" workbookViewId="0">
      <pane ySplit="13" topLeftCell="A14" activePane="bottomLeft" state="frozen"/>
      <selection pane="bottomLeft" activeCell="B14" sqref="B14"/>
    </sheetView>
  </sheetViews>
  <sheetFormatPr defaultColWidth="9.140625" defaultRowHeight="18"/>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c r="B1" s="172"/>
      <c r="C1" s="172"/>
      <c r="D1" s="172"/>
      <c r="E1" s="172"/>
      <c r="F1" s="172"/>
      <c r="G1" s="172"/>
      <c r="H1" s="172"/>
      <c r="I1" s="172"/>
      <c r="J1" s="172"/>
    </row>
    <row r="2" spans="2:10" s="20" customFormat="1" ht="39.950000000000003" customHeight="1">
      <c r="B2" s="121" t="s">
        <v>199</v>
      </c>
      <c r="C2" s="121"/>
      <c r="D2" s="121"/>
      <c r="E2" s="121"/>
      <c r="F2" s="121"/>
      <c r="G2" s="121"/>
      <c r="H2" s="121"/>
      <c r="I2" s="121"/>
      <c r="J2" s="121"/>
    </row>
    <row r="3" spans="2:10" s="20" customFormat="1" ht="8.1" customHeight="1">
      <c r="B3" s="140"/>
      <c r="C3" s="141"/>
      <c r="D3" s="141"/>
      <c r="E3" s="141"/>
      <c r="F3" s="141"/>
      <c r="G3" s="141"/>
      <c r="H3" s="141"/>
      <c r="I3" s="141"/>
      <c r="J3" s="142"/>
    </row>
    <row r="4" spans="2:10" s="20" customFormat="1" ht="9.9499999999999993" customHeight="1">
      <c r="B4" s="187" t="s">
        <v>184</v>
      </c>
      <c r="C4" s="184">
        <f>SUM(I:I)</f>
        <v>426000</v>
      </c>
      <c r="D4" s="190"/>
      <c r="E4" s="191"/>
      <c r="F4" s="191"/>
      <c r="G4" s="191"/>
      <c r="H4" s="191"/>
      <c r="I4" s="191"/>
      <c r="J4" s="192"/>
    </row>
    <row r="5" spans="2:10" s="20" customFormat="1" ht="9.9499999999999993" customHeight="1">
      <c r="B5" s="188"/>
      <c r="C5" s="185"/>
      <c r="D5" s="190"/>
      <c r="E5" s="191"/>
      <c r="F5" s="191"/>
      <c r="G5" s="191"/>
      <c r="H5" s="191"/>
      <c r="I5" s="191"/>
      <c r="J5" s="192"/>
    </row>
    <row r="6" spans="2:10" s="20" customFormat="1" ht="9.9499999999999993" customHeight="1">
      <c r="B6" s="188"/>
      <c r="C6" s="185"/>
      <c r="D6" s="190"/>
      <c r="E6" s="191"/>
      <c r="F6" s="191"/>
      <c r="G6" s="191"/>
      <c r="H6" s="191"/>
      <c r="I6" s="191"/>
      <c r="J6" s="192"/>
    </row>
    <row r="7" spans="2:10" s="20" customFormat="1" ht="9.9499999999999993" customHeight="1">
      <c r="B7" s="188"/>
      <c r="C7" s="185"/>
      <c r="D7" s="190"/>
      <c r="E7" s="191"/>
      <c r="F7" s="191"/>
      <c r="G7" s="191"/>
      <c r="H7" s="191"/>
      <c r="I7" s="191"/>
      <c r="J7" s="192"/>
    </row>
    <row r="8" spans="2:10" s="20" customFormat="1" ht="9.9499999999999993" customHeight="1">
      <c r="B8" s="188"/>
      <c r="C8" s="185"/>
      <c r="D8" s="190"/>
      <c r="E8" s="191"/>
      <c r="F8" s="191"/>
      <c r="G8" s="191"/>
      <c r="H8" s="191"/>
      <c r="I8" s="191"/>
      <c r="J8" s="192"/>
    </row>
    <row r="9" spans="2:10" s="20" customFormat="1" ht="9.9499999999999993" customHeight="1">
      <c r="B9" s="189"/>
      <c r="C9" s="186"/>
      <c r="D9" s="190"/>
      <c r="E9" s="191"/>
      <c r="F9" s="191"/>
      <c r="G9" s="191"/>
      <c r="H9" s="191"/>
      <c r="I9" s="191"/>
      <c r="J9" s="192"/>
    </row>
    <row r="10" spans="2:10" s="20" customFormat="1" ht="8.1" customHeight="1">
      <c r="B10" s="132"/>
      <c r="C10" s="139"/>
      <c r="D10" s="139"/>
      <c r="E10" s="139"/>
      <c r="F10" s="139"/>
      <c r="G10" s="139"/>
      <c r="H10" s="139"/>
      <c r="I10" s="139"/>
      <c r="J10" s="133"/>
    </row>
    <row r="11" spans="2:10" s="45" customFormat="1" ht="42" customHeight="1">
      <c r="B11" s="122" t="s">
        <v>147</v>
      </c>
      <c r="C11" s="122" t="s">
        <v>216</v>
      </c>
      <c r="D11" s="122" t="s">
        <v>217</v>
      </c>
      <c r="E11" s="122" t="s">
        <v>188</v>
      </c>
      <c r="F11" s="124" t="s">
        <v>189</v>
      </c>
      <c r="G11" s="124" t="s">
        <v>190</v>
      </c>
      <c r="H11" s="173" t="s">
        <v>165</v>
      </c>
      <c r="I11" s="173" t="s">
        <v>164</v>
      </c>
      <c r="J11" s="173" t="s">
        <v>218</v>
      </c>
    </row>
    <row r="12" spans="2:10" ht="23.85" customHeight="1">
      <c r="B12" s="123"/>
      <c r="C12" s="123"/>
      <c r="D12" s="123"/>
      <c r="E12" s="123"/>
      <c r="F12" s="123"/>
      <c r="G12" s="123"/>
      <c r="H12" s="123"/>
      <c r="I12" s="123"/>
      <c r="J12" s="123"/>
    </row>
    <row r="13" spans="2:10" s="34" customFormat="1" hidden="1">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c r="B14" s="19" t="s">
        <v>12</v>
      </c>
      <c r="C14" s="42" t="str">
        <f>IFERROR(IF(VLOOKUP(B14,PartnerN°Ref,2,FALSE)=0,"",VLOOKUP(B14,PartnerN°Ref,2,FALSE)),"")</f>
        <v>Nordeus</v>
      </c>
      <c r="D14" s="42" t="str">
        <f>IFERROR(IF(OR(VLOOKUP(B14,PartnerN°Ref,4,FALSE)="Country not found",VLOOKUP(B14,PartnerN°Ref,3,FALSE)=0),"",VLOOKUP(B14,PartnerN°Ref,3,FALSE)),"")</f>
        <v>Serbia</v>
      </c>
      <c r="E14" s="99" t="s">
        <v>380</v>
      </c>
      <c r="F14" s="99" t="s">
        <v>383</v>
      </c>
      <c r="G14" s="99" t="s">
        <v>385</v>
      </c>
      <c r="H14" s="35">
        <v>45000</v>
      </c>
      <c r="I14" s="36">
        <f>IF(J14="Error",0,ROUND(H14,2))</f>
        <v>45000</v>
      </c>
      <c r="J14" s="33" t="str">
        <f>IF(OR(COUNTIF(PartnerN°,B14)=0,C14="",COUNTIF(CountryALL,D14)=0,E14="",F14="",G14="",ISNUMBER(H14)=FALSE,IF(ISNUMBER(H14)=TRUE,H14=INT(H14*100)/100=FALSE)),"Error","")</f>
        <v/>
      </c>
    </row>
    <row r="15" spans="2:10" s="34" customFormat="1">
      <c r="B15" s="19" t="s">
        <v>13</v>
      </c>
      <c r="C15" s="42" t="str">
        <f>IFERROR(IF(VLOOKUP(B15,PartnerN°Ref,2,FALSE)=0,"",VLOOKUP(B15,PartnerN°Ref,2,FALSE)),"")</f>
        <v>Vega IT</v>
      </c>
      <c r="D15" s="42" t="str">
        <f>IFERROR(IF(OR(VLOOKUP(B15,PartnerN°Ref,4,FALSE)="Country not found",VLOOKUP(B15,PartnerN°Ref,3,FALSE)=0),"",VLOOKUP(B15,PartnerN°Ref,3,FALSE)),"")</f>
        <v>Serbia</v>
      </c>
      <c r="E15" s="99" t="s">
        <v>381</v>
      </c>
      <c r="F15" s="99" t="s">
        <v>384</v>
      </c>
      <c r="G15" s="99" t="s">
        <v>385</v>
      </c>
      <c r="H15" s="35">
        <v>31000</v>
      </c>
      <c r="I15" s="36">
        <f>IF(J15="Error",0,ROUND(H15,2))</f>
        <v>31000</v>
      </c>
      <c r="J15" s="33" t="str">
        <f>IF(OR(COUNTIF(PartnerN°,B15)=0,C15="",COUNTIF(CountryALL,D15)=0,E15="",F15="",G15="",ISNUMBER(H15)=FALSE,IF(ISNUMBER(H15)=TRUE,H15=INT(H15*100)/100=FALSE)),"Error","")</f>
        <v/>
      </c>
    </row>
    <row r="16" spans="2:10" s="34" customFormat="1">
      <c r="B16" s="19" t="s">
        <v>14</v>
      </c>
      <c r="C16" s="42" t="str">
        <f>IFERROR(IF(VLOOKUP(B16,PartnerN°Ref,2,FALSE)=0,"",VLOOKUP(B16,PartnerN°Ref,2,FALSE)),"")</f>
        <v>Quantox Technology</v>
      </c>
      <c r="D16" s="42" t="str">
        <f>IFERROR(IF(OR(VLOOKUP(B16,PartnerN°Ref,4,FALSE)="Country not found",VLOOKUP(B16,PartnerN°Ref,3,FALSE)=0),"",VLOOKUP(B16,PartnerN°Ref,3,FALSE)),"")</f>
        <v>Serbia</v>
      </c>
      <c r="E16" s="99" t="s">
        <v>382</v>
      </c>
      <c r="F16" s="18" t="s">
        <v>369</v>
      </c>
      <c r="G16" s="99" t="s">
        <v>385</v>
      </c>
      <c r="H16" s="35">
        <v>350000</v>
      </c>
      <c r="I16" s="36">
        <f>IF(J16="Error",0,ROUND(H16,2))</f>
        <v>350000</v>
      </c>
      <c r="J16" s="33" t="str">
        <f>IF(OR(COUNTIF(PartnerN°,B16)=0,C16="",COUNTIF(CountryALL,D16)=0,E16="",F16="",G16="",ISNUMBER(H16)=FALSE,IF(ISNUMBER(H16)=TRUE,H16=INT(H16*100)/100=FALSE)),"Error","")</f>
        <v/>
      </c>
    </row>
    <row r="18" spans="2:2">
      <c r="B18" s="39" t="s">
        <v>219</v>
      </c>
    </row>
    <row r="19" spans="2:2">
      <c r="B19" s="39" t="s">
        <v>220</v>
      </c>
    </row>
    <row r="20" spans="2:2">
      <c r="B20" s="39" t="s">
        <v>221</v>
      </c>
    </row>
  </sheetData>
  <sheetProtection algorithmName="SHA-512" hashValue="OItJpa6nI0C9VOQ/y4hnHQG7ubZ64nl4PlK0XRobSF/rXSJZd8dtQRhVomPJVNyz21aF8AXNKc26FLwCLIcc9A==" saltValue="ZPWsvpmcY0KY8yUY/OuJJg=="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6">
    <cfRule type="containsText" dxfId="29" priority="150" operator="containsText" text="Error">
      <formula>NOT(ISERROR(SEARCH("Error",J13)))</formula>
    </cfRule>
  </conditionalFormatting>
  <conditionalFormatting sqref="C13:D16">
    <cfRule type="containsBlanks" dxfId="28" priority="143">
      <formula>LEN(TRIM(C13))=0</formula>
    </cfRule>
  </conditionalFormatting>
  <conditionalFormatting sqref="H13">
    <cfRule type="cellIs" dxfId="27" priority="14" operator="lessThanOrEqual">
      <formula>0</formula>
    </cfRule>
  </conditionalFormatting>
  <conditionalFormatting sqref="E13:H13">
    <cfRule type="containsBlanks" dxfId="26" priority="11">
      <formula>LEN(TRIM(E13))=0</formula>
    </cfRule>
  </conditionalFormatting>
  <conditionalFormatting sqref="H14">
    <cfRule type="cellIs" dxfId="25" priority="10" operator="lessThanOrEqual">
      <formula>0</formula>
    </cfRule>
  </conditionalFormatting>
  <conditionalFormatting sqref="E14:H14">
    <cfRule type="containsBlanks" dxfId="24" priority="9">
      <formula>LEN(TRIM(E14))=0</formula>
    </cfRule>
  </conditionalFormatting>
  <conditionalFormatting sqref="B13">
    <cfRule type="containsBlanks" dxfId="23" priority="8">
      <formula>LEN(TRIM(B13))=0</formula>
    </cfRule>
  </conditionalFormatting>
  <conditionalFormatting sqref="B14">
    <cfRule type="containsBlanks" dxfId="22" priority="7">
      <formula>LEN(TRIM(B14))=0</formula>
    </cfRule>
  </conditionalFormatting>
  <conditionalFormatting sqref="H15">
    <cfRule type="cellIs" dxfId="21" priority="6" operator="lessThanOrEqual">
      <formula>0</formula>
    </cfRule>
  </conditionalFormatting>
  <conditionalFormatting sqref="E15:H15">
    <cfRule type="containsBlanks" dxfId="20" priority="5">
      <formula>LEN(TRIM(E15))=0</formula>
    </cfRule>
  </conditionalFormatting>
  <conditionalFormatting sqref="B15">
    <cfRule type="containsBlanks" dxfId="19" priority="4">
      <formula>LEN(TRIM(B15))=0</formula>
    </cfRule>
  </conditionalFormatting>
  <conditionalFormatting sqref="H16">
    <cfRule type="cellIs" dxfId="18" priority="3" operator="lessThanOrEqual">
      <formula>0</formula>
    </cfRule>
  </conditionalFormatting>
  <conditionalFormatting sqref="E16:H16">
    <cfRule type="containsBlanks" dxfId="17" priority="2">
      <formula>LEN(TRIM(E16))=0</formula>
    </cfRule>
  </conditionalFormatting>
  <conditionalFormatting sqref="B16">
    <cfRule type="containsBlanks" dxfId="16" priority="1">
      <formula>LEN(TRIM(B16))=0</formula>
    </cfRule>
  </conditionalFormatting>
  <dataValidations xWindow="301" yWindow="538" count="5">
    <dataValidation allowBlank="1" showInputMessage="1" showErrorMessage="1" error="Please encode Item" prompt="Please encode Item" sqref="E13"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 xr:uid="{00000000-0002-0000-0600-000002000000}"/>
    <dataValidation allowBlank="1" showInputMessage="1" showErrorMessage="1" error="Please encode Source of Co-financing" prompt="Please encode Source of Co-financing" sqref="F13 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c r="B1" s="172"/>
      <c r="C1" s="172"/>
      <c r="D1" s="172"/>
      <c r="E1" s="172"/>
      <c r="F1" s="172"/>
      <c r="G1" s="172"/>
      <c r="H1" s="172"/>
      <c r="I1" s="172"/>
    </row>
    <row r="2" spans="2:9" s="20" customFormat="1" ht="30" customHeight="1">
      <c r="B2" s="121" t="s">
        <v>178</v>
      </c>
      <c r="C2" s="121"/>
      <c r="D2" s="121"/>
      <c r="E2" s="121"/>
      <c r="F2" s="121"/>
      <c r="G2" s="121"/>
      <c r="H2" s="121"/>
      <c r="I2" s="121"/>
    </row>
    <row r="3" spans="2:9" s="20" customFormat="1" ht="8.1" customHeight="1">
      <c r="B3" s="196"/>
      <c r="C3" s="196"/>
      <c r="D3" s="196"/>
      <c r="E3" s="196"/>
      <c r="F3" s="196"/>
      <c r="G3" s="196"/>
      <c r="H3" s="196"/>
      <c r="I3" s="196"/>
    </row>
    <row r="4" spans="2:9" s="45" customFormat="1" ht="42" customHeight="1">
      <c r="B4" s="44" t="s">
        <v>162</v>
      </c>
      <c r="C4" s="12" t="s">
        <v>191</v>
      </c>
      <c r="D4" s="12" t="s">
        <v>192</v>
      </c>
      <c r="E4" s="12" t="s">
        <v>200</v>
      </c>
      <c r="F4" s="12" t="s">
        <v>201</v>
      </c>
      <c r="G4" s="12" t="s">
        <v>202</v>
      </c>
      <c r="H4" s="12" t="s">
        <v>340</v>
      </c>
      <c r="I4" s="12" t="s">
        <v>164</v>
      </c>
    </row>
    <row r="5" spans="2:9">
      <c r="B5" s="76" t="str">
        <f>'Unit Costs &amp; Funding Rule'!P10</f>
        <v>Preparation</v>
      </c>
      <c r="C5" s="21">
        <f>SUMIF('1. Staff costs'!B:B,B5,'1. Staff costs'!S:S)</f>
        <v>8287</v>
      </c>
      <c r="D5" s="21">
        <f>SUMIF(' 2-3-6. Travel&amp;Costs of Stay'!B:B,B5,' 2-3-6. Travel&amp;Costs of Stay'!O:O)</f>
        <v>4500</v>
      </c>
      <c r="E5" s="22">
        <f>SUMIF(' 2-3-6. Travel&amp;Costs of Stay'!B:B,B5,' 2-3-6. Travel&amp;Costs of Stay'!P:P)</f>
        <v>57750</v>
      </c>
      <c r="F5" s="22">
        <f>SUMIF('4. Equipment Costs'!B:B,B5,'4. Equipment Costs'!H:H)</f>
        <v>6000</v>
      </c>
      <c r="G5" s="22">
        <f>SUMIF('5. Subcontracting Costs'!B:B,B5,'5. Subcontracting Costs'!H:H)</f>
        <v>5000</v>
      </c>
      <c r="H5" s="22">
        <f>SUMIF(' 2-3-6. Travel&amp;Costs of Stay'!B:B,B5,' 2-3-6. Travel&amp;Costs of Stay'!N:N)</f>
        <v>0</v>
      </c>
      <c r="I5" s="23">
        <f t="shared" ref="I5:I10" si="0">SUM(C5:H5)</f>
        <v>81537</v>
      </c>
    </row>
    <row r="6" spans="2:9" ht="16.5" customHeight="1">
      <c r="B6" s="76" t="str">
        <f>'Unit Costs &amp; Funding Rule'!P11</f>
        <v>Development</v>
      </c>
      <c r="C6" s="21">
        <f>SUMIF('1. Staff costs'!B:B,B6,'1. Staff costs'!S:S)</f>
        <v>11305</v>
      </c>
      <c r="D6" s="21">
        <f>SUMIF(' 2-3-6. Travel&amp;Costs of Stay'!B:B,B6,' 2-3-6. Travel&amp;Costs of Stay'!O:O)</f>
        <v>5400</v>
      </c>
      <c r="E6" s="22">
        <f>SUMIF(' 2-3-6. Travel&amp;Costs of Stay'!B:B,B6,' 2-3-6. Travel&amp;Costs of Stay'!P:P)</f>
        <v>105000</v>
      </c>
      <c r="F6" s="22">
        <f>SUMIF('4. Equipment Costs'!B:B,B6,'4. Equipment Costs'!H:H)</f>
        <v>25000</v>
      </c>
      <c r="G6" s="22">
        <f>SUMIF('5. Subcontracting Costs'!B:B,B6,'5. Subcontracting Costs'!H:H)</f>
        <v>6000</v>
      </c>
      <c r="H6" s="22">
        <f>SUMIF(' 2-3-6. Travel&amp;Costs of Stay'!B:B,B6,' 2-3-6. Travel&amp;Costs of Stay'!N:N)</f>
        <v>0</v>
      </c>
      <c r="I6" s="23">
        <f t="shared" si="0"/>
        <v>152705</v>
      </c>
    </row>
    <row r="7" spans="2:9" ht="16.5" customHeight="1">
      <c r="B7" s="76" t="str">
        <f>'Unit Costs &amp; Funding Rule'!P12</f>
        <v>Quality Plan</v>
      </c>
      <c r="C7" s="21">
        <f>SUMIF('1. Staff costs'!B:B,B7,'1. Staff costs'!S:S)</f>
        <v>8298</v>
      </c>
      <c r="D7" s="21">
        <f>SUMIF(' 2-3-6. Travel&amp;Costs of Stay'!B:B,B7,' 2-3-6. Travel&amp;Costs of Stay'!O:O)</f>
        <v>7150</v>
      </c>
      <c r="E7" s="22">
        <f>SUMIF(' 2-3-6. Travel&amp;Costs of Stay'!B:B,B7,' 2-3-6. Travel&amp;Costs of Stay'!P:P)</f>
        <v>63700</v>
      </c>
      <c r="F7" s="22">
        <f>SUMIF('4. Equipment Costs'!B:B,B7,'4. Equipment Costs'!H:H)</f>
        <v>4000</v>
      </c>
      <c r="G7" s="22">
        <f>SUMIF('5. Subcontracting Costs'!B:B,B7,'5. Subcontracting Costs'!H:H)</f>
        <v>3841.7</v>
      </c>
      <c r="H7" s="22">
        <f>SUMIF(' 2-3-6. Travel&amp;Costs of Stay'!B:B,B7,' 2-3-6. Travel&amp;Costs of Stay'!N:N)</f>
        <v>0</v>
      </c>
      <c r="I7" s="23">
        <f t="shared" si="0"/>
        <v>86989.7</v>
      </c>
    </row>
    <row r="8" spans="2:9" ht="16.5" customHeight="1">
      <c r="B8" s="76" t="str">
        <f>'Unit Costs &amp; Funding Rule'!P13</f>
        <v>Dissemination &amp; Exploitation</v>
      </c>
      <c r="C8" s="21">
        <f>SUMIF('1. Staff costs'!B:B,B8,'1. Staff costs'!S:S)</f>
        <v>11249</v>
      </c>
      <c r="D8" s="21">
        <f>SUMIF(' 2-3-6. Travel&amp;Costs of Stay'!B:B,B8,' 2-3-6. Travel&amp;Costs of Stay'!O:O)</f>
        <v>9000</v>
      </c>
      <c r="E8" s="22">
        <f>SUMIF(' 2-3-6. Travel&amp;Costs of Stay'!B:B,B8,' 2-3-6. Travel&amp;Costs of Stay'!P:P)</f>
        <v>64500</v>
      </c>
      <c r="F8" s="22">
        <f>SUMIF('4. Equipment Costs'!B:B,B8,'4. Equipment Costs'!H:H)</f>
        <v>3000</v>
      </c>
      <c r="G8" s="22">
        <f>SUMIF('5. Subcontracting Costs'!B:B,B8,'5. Subcontracting Costs'!H:H)</f>
        <v>3000</v>
      </c>
      <c r="H8" s="22">
        <f>SUMIF(' 2-3-6. Travel&amp;Costs of Stay'!B:B,B8,' 2-3-6. Travel&amp;Costs of Stay'!N:N)</f>
        <v>0</v>
      </c>
      <c r="I8" s="23">
        <f t="shared" si="0"/>
        <v>90749</v>
      </c>
    </row>
    <row r="9" spans="2:9" ht="16.5" customHeight="1">
      <c r="B9" s="76" t="str">
        <f>'Unit Costs &amp; Funding Rule'!P14</f>
        <v>Management</v>
      </c>
      <c r="C9" s="21">
        <f>SUMIF('1. Staff costs'!B:B,B9,'1. Staff costs'!S:S)</f>
        <v>9214</v>
      </c>
      <c r="D9" s="21">
        <f>SUMIF(' 2-3-6. Travel&amp;Costs of Stay'!B:B,B9,' 2-3-6. Travel&amp;Costs of Stay'!O:O)</f>
        <v>4140</v>
      </c>
      <c r="E9" s="22">
        <f>SUMIF(' 2-3-6. Travel&amp;Costs of Stay'!B:B,B9,' 2-3-6. Travel&amp;Costs of Stay'!P:P)</f>
        <v>72450</v>
      </c>
      <c r="F9" s="22">
        <f>SUMIF('4. Equipment Costs'!B:B,B9,'4. Equipment Costs'!H:H)</f>
        <v>5000</v>
      </c>
      <c r="G9" s="22">
        <f>SUMIF('5. Subcontracting Costs'!B:B,B9,'5. Subcontracting Costs'!H:H)</f>
        <v>1000</v>
      </c>
      <c r="H9" s="22">
        <f>SUMIF(' 2-3-6. Travel&amp;Costs of Stay'!B:B,B9,' 2-3-6. Travel&amp;Costs of Stay'!N:N)</f>
        <v>0</v>
      </c>
      <c r="I9" s="23">
        <f t="shared" si="0"/>
        <v>91804</v>
      </c>
    </row>
    <row r="10" spans="2:9">
      <c r="B10" s="43" t="s">
        <v>1</v>
      </c>
      <c r="C10" s="23">
        <f t="shared" ref="C10:F10" si="1">SUM(C5:C9)</f>
        <v>48353</v>
      </c>
      <c r="D10" s="23">
        <f t="shared" si="1"/>
        <v>30190</v>
      </c>
      <c r="E10" s="23">
        <f t="shared" si="1"/>
        <v>363400</v>
      </c>
      <c r="F10" s="23">
        <f t="shared" si="1"/>
        <v>43000</v>
      </c>
      <c r="G10" s="23">
        <f>SUM(G5:G9)</f>
        <v>18841.7</v>
      </c>
      <c r="H10" s="23">
        <f>SUM(H5:H9)</f>
        <v>0</v>
      </c>
      <c r="I10" s="17">
        <f t="shared" si="0"/>
        <v>503784.7</v>
      </c>
    </row>
    <row r="11" spans="2:9" ht="20.100000000000001" customHeight="1">
      <c r="B11" s="195"/>
      <c r="C11" s="195"/>
      <c r="D11" s="195"/>
      <c r="E11" s="195"/>
      <c r="F11" s="195"/>
      <c r="G11" s="195"/>
      <c r="H11" s="195"/>
      <c r="I11" s="195"/>
    </row>
    <row r="12" spans="2:9" ht="30" customHeight="1">
      <c r="B12" s="121" t="s">
        <v>203</v>
      </c>
      <c r="C12" s="121"/>
      <c r="D12" s="121"/>
      <c r="E12" s="121"/>
      <c r="F12" s="121"/>
      <c r="G12" s="121"/>
      <c r="H12" s="121"/>
      <c r="I12" s="121"/>
    </row>
    <row r="13" spans="2:9" ht="8.1" customHeight="1">
      <c r="B13" s="193"/>
      <c r="C13" s="193"/>
      <c r="D13" s="193"/>
      <c r="E13" s="193"/>
      <c r="F13" s="193"/>
      <c r="G13" s="193"/>
      <c r="H13" s="193"/>
      <c r="I13" s="193"/>
    </row>
    <row r="14" spans="2:9" ht="36">
      <c r="B14" s="44" t="s">
        <v>177</v>
      </c>
      <c r="C14" s="12" t="s">
        <v>191</v>
      </c>
      <c r="D14" s="12" t="s">
        <v>192</v>
      </c>
      <c r="E14" s="12" t="s">
        <v>200</v>
      </c>
      <c r="F14" s="12" t="s">
        <v>201</v>
      </c>
      <c r="G14" s="12" t="s">
        <v>202</v>
      </c>
      <c r="H14" s="12" t="s">
        <v>340</v>
      </c>
      <c r="I14" s="12" t="s">
        <v>164</v>
      </c>
    </row>
    <row r="15" spans="2:9">
      <c r="B15" s="76" t="s">
        <v>196</v>
      </c>
      <c r="C15" s="21">
        <f>SUMIF(Overview!$E$27:$E$81,B15,Overview!$F$27:$F$81)</f>
        <v>48353</v>
      </c>
      <c r="D15" s="21">
        <f>SUMIF(Overview!$E$27:$E$81,B15,Overview!$G$27:$G$81)</f>
        <v>30190</v>
      </c>
      <c r="E15" s="21">
        <f>SUMIF(Overview!$E$27:$E$81,B15,Overview!$H$27:$H$81)</f>
        <v>363400</v>
      </c>
      <c r="F15" s="21">
        <f>SUMIF(Overview!$E$27:$E$81,B15,Overview!$I$27:$I$81)</f>
        <v>0</v>
      </c>
      <c r="G15" s="21">
        <f>SUMIF(Overview!$E$27:$E$81,B15,Overview!$J$27:$J$81)</f>
        <v>18841.7</v>
      </c>
      <c r="H15" s="21">
        <f>SUMIF(Overview!$E$27:$E$81,B15,Overview!$K$27:$K$81)</f>
        <v>0</v>
      </c>
      <c r="I15" s="23">
        <f>SUM(C15:H15)</f>
        <v>460784.7</v>
      </c>
    </row>
    <row r="16" spans="2:9">
      <c r="B16" s="76" t="s">
        <v>197</v>
      </c>
      <c r="C16" s="21">
        <f>SUMIF(Overview!$E$27:$E$81,B16,Overview!$F$27:$F$81)</f>
        <v>0</v>
      </c>
      <c r="D16" s="21">
        <f>SUMIF(Overview!$E$27:$E$81,B16,Overview!$G$27:$G$81)</f>
        <v>0</v>
      </c>
      <c r="E16" s="21">
        <f>SUMIF(Overview!$E$27:$E$81,B16,Overview!$H$27:$H$81)</f>
        <v>0</v>
      </c>
      <c r="F16" s="21">
        <f>SUMIF(Overview!$E$27:$E$81,B16,Overview!$I$27:$I$81)</f>
        <v>43000</v>
      </c>
      <c r="G16" s="21">
        <f>SUMIF(Overview!$E$27:$E$81,B16,Overview!$J$27:$J$81)</f>
        <v>0</v>
      </c>
      <c r="H16" s="21">
        <f>SUMIF(Overview!$E$27:$E$81,B16,Overview!$K$27:$K$81)</f>
        <v>0</v>
      </c>
      <c r="I16" s="23">
        <f>SUM(C16:H16)</f>
        <v>43000</v>
      </c>
    </row>
    <row r="17" spans="2:9">
      <c r="B17" s="43" t="s">
        <v>1</v>
      </c>
      <c r="C17" s="23">
        <f t="shared" ref="C17:F17" si="2">SUM(C15:C16)</f>
        <v>48353</v>
      </c>
      <c r="D17" s="23">
        <f t="shared" si="2"/>
        <v>30190</v>
      </c>
      <c r="E17" s="23">
        <f t="shared" si="2"/>
        <v>363400</v>
      </c>
      <c r="F17" s="23">
        <f t="shared" si="2"/>
        <v>43000</v>
      </c>
      <c r="G17" s="23">
        <f>SUM(G15:G16)</f>
        <v>18841.7</v>
      </c>
      <c r="H17" s="23">
        <f>SUM(H15:H16)</f>
        <v>0</v>
      </c>
      <c r="I17" s="17">
        <f>SUM(C17:H17)</f>
        <v>503784.7</v>
      </c>
    </row>
    <row r="18" spans="2:9" ht="20.100000000000001" customHeight="1">
      <c r="B18" s="194"/>
      <c r="C18" s="194"/>
      <c r="D18" s="194"/>
      <c r="E18" s="194"/>
      <c r="F18" s="194"/>
      <c r="G18" s="194"/>
      <c r="H18" s="194"/>
      <c r="I18" s="194"/>
    </row>
    <row r="19" spans="2:9" ht="30" customHeight="1">
      <c r="B19" s="121" t="s">
        <v>205</v>
      </c>
      <c r="C19" s="121"/>
      <c r="D19" s="121"/>
      <c r="E19" s="121"/>
      <c r="F19" s="121"/>
      <c r="G19" s="121"/>
      <c r="H19" s="121"/>
      <c r="I19" s="121"/>
    </row>
    <row r="20" spans="2:9" ht="8.1" customHeight="1">
      <c r="B20" s="193"/>
      <c r="C20" s="193"/>
      <c r="D20" s="193"/>
      <c r="E20" s="193"/>
      <c r="F20" s="193"/>
      <c r="G20" s="193"/>
      <c r="H20" s="193"/>
      <c r="I20" s="193"/>
    </row>
    <row r="21" spans="2:9" ht="54" customHeight="1">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7" t="s">
        <v>164</v>
      </c>
      <c r="I21" s="198"/>
    </row>
    <row r="22" spans="2:9">
      <c r="B22" s="48" t="s">
        <v>8</v>
      </c>
      <c r="C22" s="2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75537</v>
      </c>
      <c r="D22" s="2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0</v>
      </c>
      <c r="E22" s="2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0</v>
      </c>
      <c r="F22" s="2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0</v>
      </c>
      <c r="G22" s="2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0</v>
      </c>
      <c r="H22" s="199">
        <f t="shared" ref="H22:H34" si="3">SUM(C22:G22)</f>
        <v>75537</v>
      </c>
      <c r="I22" s="200"/>
    </row>
    <row r="23" spans="2:9">
      <c r="B23" s="48" t="s">
        <v>9</v>
      </c>
      <c r="C23" s="2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0</v>
      </c>
      <c r="D23" s="2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0</v>
      </c>
      <c r="E23" s="2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0</v>
      </c>
      <c r="F23" s="2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0</v>
      </c>
      <c r="H23" s="199">
        <f t="shared" si="3"/>
        <v>0</v>
      </c>
      <c r="I23" s="200"/>
    </row>
    <row r="24" spans="2:9">
      <c r="B24" s="48" t="s">
        <v>10</v>
      </c>
      <c r="C24" s="2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0</v>
      </c>
      <c r="D24" s="2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0</v>
      </c>
      <c r="E24" s="2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82989.7</v>
      </c>
      <c r="F24" s="2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2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0</v>
      </c>
      <c r="H24" s="199">
        <f t="shared" si="3"/>
        <v>82989.7</v>
      </c>
      <c r="I24" s="200"/>
    </row>
    <row r="25" spans="2:9">
      <c r="B25" s="48" t="s">
        <v>11</v>
      </c>
      <c r="C25" s="2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2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0</v>
      </c>
      <c r="E25" s="2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2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87749</v>
      </c>
      <c r="G25" s="2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199">
        <f t="shared" si="3"/>
        <v>87749</v>
      </c>
      <c r="I25" s="200"/>
    </row>
    <row r="26" spans="2:9">
      <c r="B26" s="48" t="s">
        <v>12</v>
      </c>
      <c r="C26" s="2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0</v>
      </c>
      <c r="D26" s="2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0</v>
      </c>
      <c r="E26" s="2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0</v>
      </c>
      <c r="F26" s="2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2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85804</v>
      </c>
      <c r="H26" s="199">
        <f t="shared" si="3"/>
        <v>85804</v>
      </c>
      <c r="I26" s="200"/>
    </row>
    <row r="27" spans="2:9">
      <c r="B27" s="48" t="s">
        <v>13</v>
      </c>
      <c r="C27" s="2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0</v>
      </c>
      <c r="D27" s="2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127705</v>
      </c>
      <c r="E27" s="2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0</v>
      </c>
      <c r="F27" s="2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199">
        <f t="shared" si="3"/>
        <v>127705</v>
      </c>
      <c r="I27" s="200"/>
    </row>
    <row r="28" spans="2:9">
      <c r="B28" s="48" t="s">
        <v>14</v>
      </c>
      <c r="C28" s="2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2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2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0</v>
      </c>
      <c r="F28" s="2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1000</v>
      </c>
      <c r="H28" s="199">
        <f t="shared" si="3"/>
        <v>1000</v>
      </c>
      <c r="I28" s="200"/>
    </row>
    <row r="29" spans="2:9">
      <c r="B29" s="48" t="s">
        <v>15</v>
      </c>
      <c r="C29" s="2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6000</v>
      </c>
      <c r="D29" s="2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0</v>
      </c>
      <c r="E29" s="2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4000</v>
      </c>
      <c r="F29" s="2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5000</v>
      </c>
      <c r="H29" s="199">
        <f t="shared" si="3"/>
        <v>15000</v>
      </c>
      <c r="I29" s="200"/>
    </row>
    <row r="30" spans="2:9">
      <c r="B30" s="48" t="s">
        <v>16</v>
      </c>
      <c r="C30" s="2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2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25000</v>
      </c>
      <c r="E30" s="2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3000</v>
      </c>
      <c r="G30" s="2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199">
        <f t="shared" si="3"/>
        <v>28000</v>
      </c>
      <c r="I30" s="200"/>
    </row>
    <row r="31" spans="2:9">
      <c r="B31" s="48" t="s">
        <v>17</v>
      </c>
      <c r="C31" s="2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199">
        <f t="shared" si="3"/>
        <v>0</v>
      </c>
      <c r="I31" s="200"/>
    </row>
    <row r="32" spans="2:9">
      <c r="B32" s="48" t="s">
        <v>18</v>
      </c>
      <c r="C32" s="2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199">
        <f t="shared" si="3"/>
        <v>0</v>
      </c>
      <c r="I32" s="200"/>
    </row>
    <row r="33" spans="2:9">
      <c r="B33" s="48" t="s">
        <v>19</v>
      </c>
      <c r="C33" s="2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199">
        <f t="shared" si="3"/>
        <v>0</v>
      </c>
      <c r="I33" s="200"/>
    </row>
    <row r="34" spans="2:9">
      <c r="B34" s="48" t="s">
        <v>156</v>
      </c>
      <c r="C34" s="2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199">
        <f t="shared" si="3"/>
        <v>0</v>
      </c>
      <c r="I34" s="200"/>
    </row>
    <row r="35" spans="2:9">
      <c r="B35" s="48" t="s">
        <v>20</v>
      </c>
      <c r="C35" s="2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199">
        <f t="shared" ref="H35:H76" si="4">SUM(C35:G35)</f>
        <v>0</v>
      </c>
      <c r="I35" s="200"/>
    </row>
    <row r="36" spans="2:9">
      <c r="B36" s="48" t="s">
        <v>21</v>
      </c>
      <c r="C36" s="2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199">
        <f t="shared" si="4"/>
        <v>0</v>
      </c>
      <c r="I36" s="200"/>
    </row>
    <row r="37" spans="2:9">
      <c r="B37" s="48" t="s">
        <v>22</v>
      </c>
      <c r="C37" s="2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199">
        <f t="shared" si="4"/>
        <v>0</v>
      </c>
      <c r="I37" s="200"/>
    </row>
    <row r="38" spans="2:9">
      <c r="B38" s="48" t="s">
        <v>23</v>
      </c>
      <c r="C38" s="2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199">
        <f t="shared" si="4"/>
        <v>0</v>
      </c>
      <c r="I38" s="200"/>
    </row>
    <row r="39" spans="2:9">
      <c r="B39" s="48" t="s">
        <v>24</v>
      </c>
      <c r="C39" s="2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199">
        <f t="shared" si="4"/>
        <v>0</v>
      </c>
      <c r="I39" s="200"/>
    </row>
    <row r="40" spans="2:9">
      <c r="B40" s="48" t="s">
        <v>25</v>
      </c>
      <c r="C40" s="2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199">
        <f t="shared" si="4"/>
        <v>0</v>
      </c>
      <c r="I40" s="200"/>
    </row>
    <row r="41" spans="2:9">
      <c r="B41" s="48" t="s">
        <v>26</v>
      </c>
      <c r="C41" s="2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199">
        <f t="shared" si="4"/>
        <v>0</v>
      </c>
      <c r="I41" s="200"/>
    </row>
    <row r="42" spans="2:9">
      <c r="B42" s="48" t="s">
        <v>109</v>
      </c>
      <c r="C42" s="2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199">
        <f t="shared" si="4"/>
        <v>0</v>
      </c>
      <c r="I42" s="200"/>
    </row>
    <row r="43" spans="2:9">
      <c r="B43" s="48" t="s">
        <v>110</v>
      </c>
      <c r="C43" s="2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199">
        <f t="shared" si="4"/>
        <v>0</v>
      </c>
      <c r="I43" s="200"/>
    </row>
    <row r="44" spans="2:9">
      <c r="B44" s="48" t="s">
        <v>111</v>
      </c>
      <c r="C44" s="2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199">
        <f t="shared" si="4"/>
        <v>0</v>
      </c>
      <c r="I44" s="200"/>
    </row>
    <row r="45" spans="2:9">
      <c r="B45" s="48" t="s">
        <v>112</v>
      </c>
      <c r="C45" s="2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199">
        <f t="shared" si="4"/>
        <v>0</v>
      </c>
      <c r="I45" s="200"/>
    </row>
    <row r="46" spans="2:9">
      <c r="B46" s="48" t="s">
        <v>113</v>
      </c>
      <c r="C46" s="2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199">
        <f t="shared" si="4"/>
        <v>0</v>
      </c>
      <c r="I46" s="200"/>
    </row>
    <row r="47" spans="2:9">
      <c r="B47" s="48" t="s">
        <v>114</v>
      </c>
      <c r="C47" s="2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199">
        <f t="shared" si="4"/>
        <v>0</v>
      </c>
      <c r="I47" s="200"/>
    </row>
    <row r="48" spans="2:9">
      <c r="B48" s="48" t="s">
        <v>115</v>
      </c>
      <c r="C48" s="2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199">
        <f t="shared" si="4"/>
        <v>0</v>
      </c>
      <c r="I48" s="200"/>
    </row>
    <row r="49" spans="2:9">
      <c r="B49" s="48" t="s">
        <v>116</v>
      </c>
      <c r="C49" s="2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199">
        <f t="shared" si="4"/>
        <v>0</v>
      </c>
      <c r="I49" s="200"/>
    </row>
    <row r="50" spans="2:9">
      <c r="B50" s="48" t="s">
        <v>117</v>
      </c>
      <c r="C50" s="2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199">
        <f t="shared" si="4"/>
        <v>0</v>
      </c>
      <c r="I50" s="200"/>
    </row>
    <row r="51" spans="2:9">
      <c r="B51" s="48" t="s">
        <v>118</v>
      </c>
      <c r="C51" s="2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199">
        <f t="shared" si="4"/>
        <v>0</v>
      </c>
      <c r="I51" s="200"/>
    </row>
    <row r="52" spans="2:9">
      <c r="B52" s="48" t="s">
        <v>119</v>
      </c>
      <c r="C52" s="2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199">
        <f t="shared" si="4"/>
        <v>0</v>
      </c>
      <c r="I52" s="200"/>
    </row>
    <row r="53" spans="2:9">
      <c r="B53" s="48" t="s">
        <v>120</v>
      </c>
      <c r="C53" s="2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199">
        <f t="shared" si="4"/>
        <v>0</v>
      </c>
      <c r="I53" s="200"/>
    </row>
    <row r="54" spans="2:9">
      <c r="B54" s="48" t="s">
        <v>121</v>
      </c>
      <c r="C54" s="2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199">
        <f t="shared" si="4"/>
        <v>0</v>
      </c>
      <c r="I54" s="200"/>
    </row>
    <row r="55" spans="2:9">
      <c r="B55" s="48" t="s">
        <v>122</v>
      </c>
      <c r="C55" s="2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199">
        <f t="shared" si="4"/>
        <v>0</v>
      </c>
      <c r="I55" s="200"/>
    </row>
    <row r="56" spans="2:9">
      <c r="B56" s="48" t="s">
        <v>123</v>
      </c>
      <c r="C56" s="2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199">
        <f t="shared" si="4"/>
        <v>0</v>
      </c>
      <c r="I56" s="200"/>
    </row>
    <row r="57" spans="2:9">
      <c r="B57" s="48" t="s">
        <v>124</v>
      </c>
      <c r="C57" s="2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199">
        <f t="shared" si="4"/>
        <v>0</v>
      </c>
      <c r="I57" s="200"/>
    </row>
    <row r="58" spans="2:9">
      <c r="B58" s="48" t="s">
        <v>125</v>
      </c>
      <c r="C58" s="2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199">
        <f t="shared" si="4"/>
        <v>0</v>
      </c>
      <c r="I58" s="200"/>
    </row>
    <row r="59" spans="2:9">
      <c r="B59" s="48" t="s">
        <v>126</v>
      </c>
      <c r="C59" s="2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199">
        <f t="shared" si="4"/>
        <v>0</v>
      </c>
      <c r="I59" s="200"/>
    </row>
    <row r="60" spans="2:9">
      <c r="B60" s="48" t="s">
        <v>127</v>
      </c>
      <c r="C60" s="2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199">
        <f t="shared" si="4"/>
        <v>0</v>
      </c>
      <c r="I60" s="200"/>
    </row>
    <row r="61" spans="2:9">
      <c r="B61" s="48" t="s">
        <v>128</v>
      </c>
      <c r="C61" s="2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199">
        <f t="shared" si="4"/>
        <v>0</v>
      </c>
      <c r="I61" s="200"/>
    </row>
    <row r="62" spans="2:9">
      <c r="B62" s="48" t="s">
        <v>137</v>
      </c>
      <c r="C62" s="2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199">
        <f t="shared" si="4"/>
        <v>0</v>
      </c>
      <c r="I62" s="200"/>
    </row>
    <row r="63" spans="2:9">
      <c r="B63" s="48" t="s">
        <v>138</v>
      </c>
      <c r="C63" s="2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199">
        <f t="shared" si="4"/>
        <v>0</v>
      </c>
      <c r="I63" s="200"/>
    </row>
    <row r="64" spans="2:9">
      <c r="B64" s="48" t="s">
        <v>139</v>
      </c>
      <c r="C64" s="2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199">
        <f t="shared" si="4"/>
        <v>0</v>
      </c>
      <c r="I64" s="200"/>
    </row>
    <row r="65" spans="2:9">
      <c r="B65" s="48" t="s">
        <v>140</v>
      </c>
      <c r="C65" s="2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199">
        <f t="shared" si="4"/>
        <v>0</v>
      </c>
      <c r="I65" s="200"/>
    </row>
    <row r="66" spans="2:9">
      <c r="B66" s="48" t="s">
        <v>141</v>
      </c>
      <c r="C66" s="2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199">
        <f t="shared" si="4"/>
        <v>0</v>
      </c>
      <c r="I66" s="200"/>
    </row>
    <row r="67" spans="2:9">
      <c r="B67" s="48" t="s">
        <v>142</v>
      </c>
      <c r="C67" s="2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199">
        <f t="shared" si="4"/>
        <v>0</v>
      </c>
      <c r="I67" s="200"/>
    </row>
    <row r="68" spans="2:9">
      <c r="B68" s="48" t="s">
        <v>143</v>
      </c>
      <c r="C68" s="2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199">
        <f t="shared" si="4"/>
        <v>0</v>
      </c>
      <c r="I68" s="200"/>
    </row>
    <row r="69" spans="2:9">
      <c r="B69" s="48" t="s">
        <v>144</v>
      </c>
      <c r="C69" s="2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199">
        <f t="shared" si="4"/>
        <v>0</v>
      </c>
      <c r="I69" s="200"/>
    </row>
    <row r="70" spans="2:9">
      <c r="B70" s="48" t="s">
        <v>145</v>
      </c>
      <c r="C70" s="2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199">
        <f t="shared" si="4"/>
        <v>0</v>
      </c>
      <c r="I70" s="200"/>
    </row>
    <row r="71" spans="2:9">
      <c r="B71" s="48" t="s">
        <v>146</v>
      </c>
      <c r="C71" s="2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199">
        <f t="shared" si="4"/>
        <v>0</v>
      </c>
      <c r="I71" s="200"/>
    </row>
    <row r="72" spans="2:9">
      <c r="B72" s="48" t="s">
        <v>157</v>
      </c>
      <c r="C72" s="2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199">
        <f t="shared" si="4"/>
        <v>0</v>
      </c>
      <c r="I72" s="200"/>
    </row>
    <row r="73" spans="2:9">
      <c r="B73" s="48" t="s">
        <v>158</v>
      </c>
      <c r="C73" s="2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199">
        <f t="shared" si="4"/>
        <v>0</v>
      </c>
      <c r="I73" s="200"/>
    </row>
    <row r="74" spans="2:9">
      <c r="B74" s="48" t="s">
        <v>159</v>
      </c>
      <c r="C74" s="2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199">
        <f t="shared" si="4"/>
        <v>0</v>
      </c>
      <c r="I74" s="200"/>
    </row>
    <row r="75" spans="2:9">
      <c r="B75" s="48" t="s">
        <v>160</v>
      </c>
      <c r="C75" s="2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199">
        <f t="shared" si="4"/>
        <v>0</v>
      </c>
      <c r="I75" s="200"/>
    </row>
    <row r="76" spans="2:9">
      <c r="B76" s="48" t="s">
        <v>161</v>
      </c>
      <c r="C76" s="2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199">
        <f t="shared" si="4"/>
        <v>0</v>
      </c>
      <c r="I76" s="200"/>
    </row>
    <row r="77" spans="2:9">
      <c r="B77" s="48" t="s">
        <v>1</v>
      </c>
      <c r="C77" s="23">
        <f>SUM(C22:C76)</f>
        <v>81537</v>
      </c>
      <c r="D77" s="23">
        <f t="shared" ref="D77:G77" si="5">SUM(D22:D76)</f>
        <v>152705</v>
      </c>
      <c r="E77" s="23">
        <f t="shared" si="5"/>
        <v>86989.7</v>
      </c>
      <c r="F77" s="23">
        <f t="shared" si="5"/>
        <v>90749</v>
      </c>
      <c r="G77" s="23">
        <f t="shared" si="5"/>
        <v>91804</v>
      </c>
      <c r="H77" s="199">
        <f>SUM(C77:G77)</f>
        <v>503784.7</v>
      </c>
      <c r="I77" s="200"/>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L3" zoomScale="70" zoomScaleNormal="70" zoomScaleSheetLayoutView="40" zoomScalePageLayoutView="70" workbookViewId="0">
      <selection activeCell="B1" sqref="B1:U1"/>
    </sheetView>
  </sheetViews>
  <sheetFormatPr defaultRowHeight="16.5"/>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c r="B1" s="210" t="s">
        <v>359</v>
      </c>
      <c r="C1" s="211"/>
      <c r="D1" s="211"/>
      <c r="E1" s="211"/>
      <c r="F1" s="211"/>
      <c r="G1" s="211"/>
      <c r="H1" s="211"/>
      <c r="I1" s="211"/>
      <c r="J1" s="211"/>
      <c r="K1" s="211"/>
      <c r="L1" s="211"/>
      <c r="M1" s="211"/>
      <c r="N1" s="211"/>
      <c r="O1" s="211"/>
      <c r="P1" s="211"/>
      <c r="Q1" s="211"/>
      <c r="R1" s="211"/>
      <c r="S1" s="211"/>
      <c r="T1" s="211"/>
      <c r="U1" s="211"/>
    </row>
    <row r="2" spans="2:21" ht="33" customHeight="1">
      <c r="B2" s="54" t="s">
        <v>348</v>
      </c>
      <c r="C2" s="98" t="s">
        <v>357</v>
      </c>
      <c r="D2" s="97"/>
      <c r="E2" s="97"/>
      <c r="F2" s="97"/>
      <c r="G2" s="97"/>
      <c r="H2" s="97"/>
      <c r="I2" s="97"/>
      <c r="J2" s="97"/>
      <c r="K2" s="55"/>
      <c r="L2" s="55"/>
      <c r="M2" s="55"/>
      <c r="N2" s="55"/>
      <c r="O2" s="55"/>
      <c r="P2" s="55"/>
      <c r="Q2" s="55"/>
      <c r="R2" s="55"/>
      <c r="S2" s="55"/>
      <c r="T2" s="55"/>
      <c r="U2" s="55"/>
    </row>
    <row r="3" spans="2:21" ht="33" customHeight="1">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c r="B4" s="212" t="s">
        <v>225</v>
      </c>
      <c r="C4" s="212"/>
      <c r="D4" s="212"/>
      <c r="E4" s="212"/>
      <c r="F4" s="212"/>
      <c r="G4" s="212"/>
      <c r="I4" s="212" t="s">
        <v>226</v>
      </c>
      <c r="J4" s="212"/>
      <c r="L4" s="212" t="s">
        <v>227</v>
      </c>
      <c r="M4" s="212"/>
      <c r="N4" s="212"/>
      <c r="P4" s="212" t="s">
        <v>228</v>
      </c>
      <c r="Q4" s="212"/>
      <c r="S4" s="212" t="s">
        <v>229</v>
      </c>
      <c r="T4" s="212"/>
      <c r="U4" s="212"/>
    </row>
    <row r="5" spans="2:21" s="58" customFormat="1" ht="157.5" customHeight="1">
      <c r="B5" s="204" t="s">
        <v>334</v>
      </c>
      <c r="C5" s="205"/>
      <c r="D5" s="205"/>
      <c r="E5" s="205"/>
      <c r="F5" s="205"/>
      <c r="G5" s="206"/>
      <c r="I5" s="204" t="s">
        <v>315</v>
      </c>
      <c r="J5" s="206"/>
      <c r="L5" s="204" t="s">
        <v>335</v>
      </c>
      <c r="M5" s="205"/>
      <c r="N5" s="206"/>
      <c r="P5" s="204" t="s">
        <v>312</v>
      </c>
      <c r="Q5" s="206"/>
      <c r="S5" s="204" t="s">
        <v>316</v>
      </c>
      <c r="T5" s="205"/>
      <c r="U5" s="206"/>
    </row>
    <row r="6" spans="2:21" s="59" customFormat="1" ht="80.25" customHeight="1">
      <c r="B6" s="207"/>
      <c r="C6" s="208"/>
      <c r="D6" s="208"/>
      <c r="E6" s="208"/>
      <c r="F6" s="208"/>
      <c r="G6" s="209"/>
      <c r="I6" s="207"/>
      <c r="J6" s="209"/>
      <c r="L6" s="207"/>
      <c r="M6" s="208"/>
      <c r="N6" s="209"/>
      <c r="P6" s="207"/>
      <c r="Q6" s="209"/>
      <c r="S6" s="207"/>
      <c r="T6" s="208"/>
      <c r="U6" s="209"/>
    </row>
    <row r="7" spans="2:21" ht="82.5" customHeight="1">
      <c r="B7" s="60" t="s">
        <v>0</v>
      </c>
      <c r="C7" s="60" t="s">
        <v>176</v>
      </c>
      <c r="D7" s="60" t="s">
        <v>131</v>
      </c>
      <c r="E7" s="61" t="s">
        <v>129</v>
      </c>
      <c r="F7" s="61" t="s">
        <v>314</v>
      </c>
      <c r="G7" s="61" t="s">
        <v>313</v>
      </c>
      <c r="I7" s="61" t="s">
        <v>27</v>
      </c>
      <c r="J7" s="61" t="s">
        <v>171</v>
      </c>
      <c r="L7" s="61" t="s">
        <v>215</v>
      </c>
      <c r="M7" s="61" t="s">
        <v>210</v>
      </c>
      <c r="N7" s="61" t="s">
        <v>208</v>
      </c>
      <c r="P7" s="201" t="s">
        <v>328</v>
      </c>
      <c r="Q7" s="202"/>
      <c r="S7" s="201" t="s">
        <v>329</v>
      </c>
      <c r="T7" s="203"/>
      <c r="U7" s="202"/>
    </row>
    <row r="8" spans="2:21" ht="15" customHeight="1">
      <c r="B8" s="62" t="s">
        <v>3</v>
      </c>
      <c r="C8" s="62" t="s">
        <v>196</v>
      </c>
      <c r="D8" s="63">
        <v>294</v>
      </c>
      <c r="E8" s="63">
        <v>241</v>
      </c>
      <c r="F8" s="63">
        <v>190</v>
      </c>
      <c r="G8" s="63">
        <v>157</v>
      </c>
      <c r="I8" s="64" t="s">
        <v>330</v>
      </c>
      <c r="J8" s="64">
        <v>0</v>
      </c>
      <c r="L8" s="65">
        <v>1</v>
      </c>
      <c r="M8" s="63">
        <f>L8*55</f>
        <v>55</v>
      </c>
      <c r="N8" s="63">
        <f>L8*120</f>
        <v>120</v>
      </c>
      <c r="Q8" s="66"/>
      <c r="U8" s="66"/>
    </row>
    <row r="9" spans="2:21" ht="15" customHeight="1">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c r="B16" s="62" t="s">
        <v>34</v>
      </c>
      <c r="C16" s="62" t="s">
        <v>196</v>
      </c>
      <c r="D16" s="63">
        <v>280</v>
      </c>
      <c r="E16" s="63">
        <v>214</v>
      </c>
      <c r="F16" s="63">
        <v>162</v>
      </c>
      <c r="G16" s="63">
        <v>131</v>
      </c>
      <c r="J16" s="66"/>
      <c r="L16" s="65">
        <v>9</v>
      </c>
      <c r="M16" s="63">
        <f t="shared" si="0"/>
        <v>495</v>
      </c>
      <c r="N16" s="63">
        <f t="shared" si="1"/>
        <v>1080</v>
      </c>
      <c r="P16" s="67" t="s">
        <v>206</v>
      </c>
    </row>
    <row r="17" spans="2:16">
      <c r="B17" s="62" t="s">
        <v>352</v>
      </c>
      <c r="C17" s="62" t="s">
        <v>196</v>
      </c>
      <c r="D17" s="63">
        <v>88</v>
      </c>
      <c r="E17" s="63">
        <v>74</v>
      </c>
      <c r="F17" s="63">
        <v>55</v>
      </c>
      <c r="G17" s="63">
        <v>39</v>
      </c>
      <c r="J17" s="66"/>
      <c r="L17" s="65">
        <v>10</v>
      </c>
      <c r="M17" s="63">
        <f t="shared" si="0"/>
        <v>550</v>
      </c>
      <c r="N17" s="63">
        <f t="shared" si="1"/>
        <v>1200</v>
      </c>
      <c r="P17" s="69" t="s">
        <v>208</v>
      </c>
    </row>
    <row r="18" spans="2:16" ht="15" customHeight="1">
      <c r="B18" s="62" t="s">
        <v>35</v>
      </c>
      <c r="C18" s="62" t="s">
        <v>196</v>
      </c>
      <c r="D18" s="63">
        <v>280</v>
      </c>
      <c r="E18" s="63">
        <v>214</v>
      </c>
      <c r="F18" s="63">
        <v>162</v>
      </c>
      <c r="G18" s="63">
        <v>131</v>
      </c>
      <c r="L18" s="65">
        <v>11</v>
      </c>
      <c r="M18" s="63">
        <f t="shared" si="0"/>
        <v>605</v>
      </c>
      <c r="N18" s="63">
        <f t="shared" si="1"/>
        <v>1320</v>
      </c>
      <c r="P18" s="69" t="s">
        <v>210</v>
      </c>
    </row>
    <row r="19" spans="2:16">
      <c r="B19" s="62" t="s">
        <v>36</v>
      </c>
      <c r="C19" s="62" t="s">
        <v>196</v>
      </c>
      <c r="D19" s="63">
        <v>280</v>
      </c>
      <c r="E19" s="63">
        <v>214</v>
      </c>
      <c r="F19" s="63">
        <v>162</v>
      </c>
      <c r="G19" s="63">
        <v>131</v>
      </c>
      <c r="L19" s="65">
        <v>12</v>
      </c>
      <c r="M19" s="63">
        <f t="shared" si="0"/>
        <v>660</v>
      </c>
      <c r="N19" s="63">
        <f t="shared" si="1"/>
        <v>1440</v>
      </c>
    </row>
    <row r="20" spans="2:16" ht="18">
      <c r="B20" s="62" t="s">
        <v>41</v>
      </c>
      <c r="C20" s="62" t="s">
        <v>196</v>
      </c>
      <c r="D20" s="63">
        <v>164</v>
      </c>
      <c r="E20" s="63">
        <v>137</v>
      </c>
      <c r="F20" s="63">
        <v>102</v>
      </c>
      <c r="G20" s="63">
        <v>78</v>
      </c>
      <c r="L20" s="65">
        <v>13</v>
      </c>
      <c r="M20" s="63">
        <f t="shared" si="0"/>
        <v>715</v>
      </c>
      <c r="N20" s="63">
        <f t="shared" si="1"/>
        <v>1560</v>
      </c>
      <c r="P20" s="67" t="s">
        <v>346</v>
      </c>
    </row>
    <row r="21" spans="2:16">
      <c r="B21" s="62" t="s">
        <v>48</v>
      </c>
      <c r="C21" s="62" t="s">
        <v>196</v>
      </c>
      <c r="D21" s="63">
        <v>88</v>
      </c>
      <c r="E21" s="63">
        <v>74</v>
      </c>
      <c r="F21" s="63">
        <v>55</v>
      </c>
      <c r="G21" s="63">
        <v>39</v>
      </c>
      <c r="L21" s="65">
        <v>14</v>
      </c>
      <c r="M21" s="63">
        <f t="shared" si="0"/>
        <v>770</v>
      </c>
      <c r="N21" s="63">
        <f t="shared" si="1"/>
        <v>1680</v>
      </c>
      <c r="P21" s="69" t="s">
        <v>347</v>
      </c>
    </row>
    <row r="22" spans="2:16">
      <c r="B22" s="62" t="s">
        <v>37</v>
      </c>
      <c r="C22" s="62" t="s">
        <v>196</v>
      </c>
      <c r="D22" s="63">
        <v>280</v>
      </c>
      <c r="E22" s="63">
        <v>214</v>
      </c>
      <c r="F22" s="63">
        <v>162</v>
      </c>
      <c r="G22" s="63">
        <v>131</v>
      </c>
      <c r="L22" s="65">
        <v>15</v>
      </c>
      <c r="M22" s="70">
        <f>((L22-$L$21)*40)+770</f>
        <v>810</v>
      </c>
      <c r="N22" s="71">
        <f>((L22-$L$21)*70)+1680</f>
        <v>1750</v>
      </c>
      <c r="P22" s="89"/>
    </row>
    <row r="23" spans="2:16">
      <c r="B23" s="62" t="s">
        <v>29</v>
      </c>
      <c r="C23" s="62" t="s">
        <v>196</v>
      </c>
      <c r="D23" s="63">
        <v>294</v>
      </c>
      <c r="E23" s="63">
        <v>241</v>
      </c>
      <c r="F23" s="63">
        <v>190</v>
      </c>
      <c r="G23" s="63">
        <v>157</v>
      </c>
      <c r="L23" s="65">
        <v>16</v>
      </c>
      <c r="M23" s="70">
        <f t="shared" ref="M23:M86" si="2">((L23-$L$21)*40)+770</f>
        <v>850</v>
      </c>
      <c r="N23" s="71">
        <f t="shared" ref="N23:N67" si="3">((L23-$L$21)*70)+1680</f>
        <v>1820</v>
      </c>
    </row>
    <row r="24" spans="2:16">
      <c r="B24" s="62" t="s">
        <v>38</v>
      </c>
      <c r="C24" s="62" t="s">
        <v>196</v>
      </c>
      <c r="D24" s="63">
        <v>280</v>
      </c>
      <c r="E24" s="63">
        <v>214</v>
      </c>
      <c r="F24" s="63">
        <v>162</v>
      </c>
      <c r="G24" s="63">
        <v>131</v>
      </c>
      <c r="L24" s="65">
        <v>17</v>
      </c>
      <c r="M24" s="70">
        <f t="shared" si="2"/>
        <v>890</v>
      </c>
      <c r="N24" s="71">
        <f t="shared" si="3"/>
        <v>1890</v>
      </c>
    </row>
    <row r="25" spans="2:16">
      <c r="B25" s="62" t="s">
        <v>49</v>
      </c>
      <c r="C25" s="62" t="s">
        <v>196</v>
      </c>
      <c r="D25" s="63">
        <v>88</v>
      </c>
      <c r="E25" s="63">
        <v>74</v>
      </c>
      <c r="F25" s="63">
        <v>55</v>
      </c>
      <c r="G25" s="63">
        <v>39</v>
      </c>
      <c r="L25" s="65">
        <v>18</v>
      </c>
      <c r="M25" s="70">
        <f t="shared" si="2"/>
        <v>930</v>
      </c>
      <c r="N25" s="71">
        <f t="shared" si="3"/>
        <v>1960</v>
      </c>
    </row>
    <row r="26" spans="2:16">
      <c r="B26" s="62" t="s">
        <v>30</v>
      </c>
      <c r="C26" s="62" t="s">
        <v>196</v>
      </c>
      <c r="D26" s="63">
        <v>294</v>
      </c>
      <c r="E26" s="63">
        <v>241</v>
      </c>
      <c r="F26" s="63">
        <v>190</v>
      </c>
      <c r="G26" s="63">
        <v>157</v>
      </c>
      <c r="L26" s="65">
        <v>19</v>
      </c>
      <c r="M26" s="70">
        <f t="shared" si="2"/>
        <v>970</v>
      </c>
      <c r="N26" s="71">
        <f t="shared" si="3"/>
        <v>2030</v>
      </c>
    </row>
    <row r="27" spans="2:16">
      <c r="B27" s="62" t="s">
        <v>50</v>
      </c>
      <c r="C27" s="62" t="s">
        <v>196</v>
      </c>
      <c r="D27" s="63">
        <v>88</v>
      </c>
      <c r="E27" s="63">
        <v>74</v>
      </c>
      <c r="F27" s="63">
        <v>55</v>
      </c>
      <c r="G27" s="63">
        <v>39</v>
      </c>
      <c r="L27" s="65">
        <v>20</v>
      </c>
      <c r="M27" s="70">
        <f t="shared" si="2"/>
        <v>1010</v>
      </c>
      <c r="N27" s="71">
        <f t="shared" si="3"/>
        <v>2100</v>
      </c>
    </row>
    <row r="28" spans="2:16">
      <c r="B28" s="62" t="s">
        <v>134</v>
      </c>
      <c r="C28" s="62" t="s">
        <v>196</v>
      </c>
      <c r="D28" s="63">
        <v>294</v>
      </c>
      <c r="E28" s="63">
        <v>241</v>
      </c>
      <c r="F28" s="63">
        <v>190</v>
      </c>
      <c r="G28" s="63">
        <v>157</v>
      </c>
      <c r="L28" s="65">
        <v>21</v>
      </c>
      <c r="M28" s="70">
        <f t="shared" si="2"/>
        <v>1050</v>
      </c>
      <c r="N28" s="71">
        <f t="shared" si="3"/>
        <v>2170</v>
      </c>
    </row>
    <row r="29" spans="2:16">
      <c r="B29" s="62" t="s">
        <v>42</v>
      </c>
      <c r="C29" s="62" t="s">
        <v>196</v>
      </c>
      <c r="D29" s="63">
        <v>164</v>
      </c>
      <c r="E29" s="63">
        <v>137</v>
      </c>
      <c r="F29" s="63">
        <v>102</v>
      </c>
      <c r="G29" s="63">
        <v>78</v>
      </c>
      <c r="L29" s="65">
        <v>22</v>
      </c>
      <c r="M29" s="70">
        <f t="shared" si="2"/>
        <v>1090</v>
      </c>
      <c r="N29" s="71">
        <f t="shared" si="3"/>
        <v>2240</v>
      </c>
    </row>
    <row r="30" spans="2:16">
      <c r="B30" s="62" t="s">
        <v>31</v>
      </c>
      <c r="C30" s="62" t="s">
        <v>196</v>
      </c>
      <c r="D30" s="63">
        <v>294</v>
      </c>
      <c r="E30" s="63">
        <v>241</v>
      </c>
      <c r="F30" s="63">
        <v>190</v>
      </c>
      <c r="G30" s="63">
        <v>157</v>
      </c>
      <c r="L30" s="65">
        <v>23</v>
      </c>
      <c r="M30" s="70">
        <f t="shared" si="2"/>
        <v>1130</v>
      </c>
      <c r="N30" s="71">
        <f t="shared" si="3"/>
        <v>2310</v>
      </c>
    </row>
    <row r="31" spans="2:16">
      <c r="B31" s="62" t="s">
        <v>32</v>
      </c>
      <c r="C31" s="62" t="s">
        <v>196</v>
      </c>
      <c r="D31" s="63">
        <v>294</v>
      </c>
      <c r="E31" s="63">
        <v>241</v>
      </c>
      <c r="F31" s="63">
        <v>190</v>
      </c>
      <c r="G31" s="63">
        <v>157</v>
      </c>
      <c r="L31" s="65">
        <v>24</v>
      </c>
      <c r="M31" s="70">
        <f t="shared" si="2"/>
        <v>1170</v>
      </c>
      <c r="N31" s="71">
        <f t="shared" si="3"/>
        <v>2380</v>
      </c>
    </row>
    <row r="32" spans="2:16">
      <c r="B32" s="62" t="s">
        <v>51</v>
      </c>
      <c r="C32" s="62" t="s">
        <v>196</v>
      </c>
      <c r="D32" s="63">
        <v>88</v>
      </c>
      <c r="E32" s="63">
        <v>74</v>
      </c>
      <c r="F32" s="63">
        <v>55</v>
      </c>
      <c r="G32" s="63">
        <v>39</v>
      </c>
      <c r="L32" s="65">
        <v>25</v>
      </c>
      <c r="M32" s="70">
        <f t="shared" si="2"/>
        <v>1210</v>
      </c>
      <c r="N32" s="71">
        <f t="shared" si="3"/>
        <v>2450</v>
      </c>
    </row>
    <row r="33" spans="2:14">
      <c r="B33" s="62" t="s">
        <v>43</v>
      </c>
      <c r="C33" s="62" t="s">
        <v>196</v>
      </c>
      <c r="D33" s="63">
        <v>164</v>
      </c>
      <c r="E33" s="63">
        <v>137</v>
      </c>
      <c r="F33" s="63">
        <v>102</v>
      </c>
      <c r="G33" s="63">
        <v>78</v>
      </c>
      <c r="L33" s="65">
        <v>26</v>
      </c>
      <c r="M33" s="70">
        <f t="shared" si="2"/>
        <v>1250</v>
      </c>
      <c r="N33" s="71">
        <f t="shared" si="3"/>
        <v>2520</v>
      </c>
    </row>
    <row r="34" spans="2:14">
      <c r="B34" s="62" t="s">
        <v>52</v>
      </c>
      <c r="C34" s="62" t="s">
        <v>196</v>
      </c>
      <c r="D34" s="63">
        <v>88</v>
      </c>
      <c r="E34" s="63">
        <v>74</v>
      </c>
      <c r="F34" s="63">
        <v>55</v>
      </c>
      <c r="G34" s="63">
        <v>39</v>
      </c>
      <c r="L34" s="65">
        <v>27</v>
      </c>
      <c r="M34" s="70">
        <f t="shared" si="2"/>
        <v>1290</v>
      </c>
      <c r="N34" s="71">
        <f t="shared" si="3"/>
        <v>2590</v>
      </c>
    </row>
    <row r="35" spans="2:14">
      <c r="B35" s="62" t="s">
        <v>98</v>
      </c>
      <c r="C35" s="62" t="s">
        <v>196</v>
      </c>
      <c r="D35" s="63">
        <v>88</v>
      </c>
      <c r="E35" s="63">
        <v>74</v>
      </c>
      <c r="F35" s="63">
        <v>55</v>
      </c>
      <c r="G35" s="63">
        <v>39</v>
      </c>
      <c r="L35" s="65">
        <v>28</v>
      </c>
      <c r="M35" s="70">
        <f t="shared" si="2"/>
        <v>1330</v>
      </c>
      <c r="N35" s="71">
        <f t="shared" si="3"/>
        <v>2660</v>
      </c>
    </row>
    <row r="36" spans="2:14">
      <c r="B36" s="62" t="s">
        <v>153</v>
      </c>
      <c r="C36" s="62" t="s">
        <v>196</v>
      </c>
      <c r="D36" s="63">
        <v>88</v>
      </c>
      <c r="E36" s="63">
        <v>74</v>
      </c>
      <c r="F36" s="63">
        <v>55</v>
      </c>
      <c r="G36" s="63">
        <v>39</v>
      </c>
      <c r="L36" s="65">
        <v>29</v>
      </c>
      <c r="M36" s="70">
        <f t="shared" si="2"/>
        <v>1370</v>
      </c>
      <c r="N36" s="71">
        <f t="shared" si="3"/>
        <v>2730</v>
      </c>
    </row>
    <row r="37" spans="2:14">
      <c r="B37" s="62" t="s">
        <v>44</v>
      </c>
      <c r="C37" s="62" t="s">
        <v>196</v>
      </c>
      <c r="D37" s="63">
        <v>164</v>
      </c>
      <c r="E37" s="63">
        <v>137</v>
      </c>
      <c r="F37" s="63">
        <v>102</v>
      </c>
      <c r="G37" s="63">
        <v>78</v>
      </c>
      <c r="L37" s="65">
        <v>30</v>
      </c>
      <c r="M37" s="70">
        <f t="shared" si="2"/>
        <v>1410</v>
      </c>
      <c r="N37" s="71">
        <f t="shared" si="3"/>
        <v>2800</v>
      </c>
    </row>
    <row r="38" spans="2:14">
      <c r="B38" s="62" t="s">
        <v>45</v>
      </c>
      <c r="C38" s="62" t="s">
        <v>196</v>
      </c>
      <c r="D38" s="63">
        <v>164</v>
      </c>
      <c r="E38" s="63">
        <v>137</v>
      </c>
      <c r="F38" s="63">
        <v>102</v>
      </c>
      <c r="G38" s="63">
        <v>78</v>
      </c>
      <c r="L38" s="65">
        <v>31</v>
      </c>
      <c r="M38" s="70">
        <f t="shared" si="2"/>
        <v>1450</v>
      </c>
      <c r="N38" s="71">
        <f t="shared" si="3"/>
        <v>2870</v>
      </c>
    </row>
    <row r="39" spans="2:14">
      <c r="B39" s="62" t="s">
        <v>33</v>
      </c>
      <c r="C39" s="62" t="s">
        <v>196</v>
      </c>
      <c r="D39" s="63">
        <v>294</v>
      </c>
      <c r="E39" s="63">
        <v>241</v>
      </c>
      <c r="F39" s="63">
        <v>190</v>
      </c>
      <c r="G39" s="63">
        <v>157</v>
      </c>
      <c r="L39" s="65">
        <v>32</v>
      </c>
      <c r="M39" s="70">
        <f t="shared" si="2"/>
        <v>1490</v>
      </c>
      <c r="N39" s="71">
        <f t="shared" si="3"/>
        <v>2940</v>
      </c>
    </row>
    <row r="40" spans="2:14">
      <c r="B40" s="62" t="s">
        <v>53</v>
      </c>
      <c r="C40" s="62" t="s">
        <v>196</v>
      </c>
      <c r="D40" s="63">
        <v>88</v>
      </c>
      <c r="E40" s="63">
        <v>74</v>
      </c>
      <c r="F40" s="63">
        <v>55</v>
      </c>
      <c r="G40" s="63">
        <v>39</v>
      </c>
      <c r="L40" s="65">
        <v>33</v>
      </c>
      <c r="M40" s="70">
        <f t="shared" si="2"/>
        <v>1530</v>
      </c>
      <c r="N40" s="71">
        <f t="shared" si="3"/>
        <v>3010</v>
      </c>
    </row>
    <row r="41" spans="2:14">
      <c r="B41" s="62" t="s">
        <v>39</v>
      </c>
      <c r="C41" s="62" t="s">
        <v>196</v>
      </c>
      <c r="D41" s="63">
        <v>280</v>
      </c>
      <c r="E41" s="63">
        <v>214</v>
      </c>
      <c r="F41" s="63">
        <v>162</v>
      </c>
      <c r="G41" s="63">
        <v>131</v>
      </c>
      <c r="L41" s="65">
        <v>34</v>
      </c>
      <c r="M41" s="70">
        <f t="shared" si="2"/>
        <v>1570</v>
      </c>
      <c r="N41" s="71">
        <f t="shared" si="3"/>
        <v>3080</v>
      </c>
    </row>
    <row r="42" spans="2:14">
      <c r="B42" s="64" t="s">
        <v>7</v>
      </c>
      <c r="C42" s="64" t="s">
        <v>197</v>
      </c>
      <c r="D42" s="72">
        <v>77</v>
      </c>
      <c r="E42" s="72">
        <v>57</v>
      </c>
      <c r="F42" s="72">
        <v>40</v>
      </c>
      <c r="G42" s="72">
        <v>32</v>
      </c>
      <c r="L42" s="65">
        <v>35</v>
      </c>
      <c r="M42" s="70">
        <f t="shared" si="2"/>
        <v>1610</v>
      </c>
      <c r="N42" s="71">
        <f t="shared" si="3"/>
        <v>3150</v>
      </c>
    </row>
    <row r="43" spans="2:14">
      <c r="B43" s="64" t="s">
        <v>55</v>
      </c>
      <c r="C43" s="64" t="s">
        <v>197</v>
      </c>
      <c r="D43" s="72">
        <v>108</v>
      </c>
      <c r="E43" s="72">
        <v>80</v>
      </c>
      <c r="F43" s="72">
        <v>57</v>
      </c>
      <c r="G43" s="72">
        <v>45</v>
      </c>
      <c r="L43" s="65">
        <v>36</v>
      </c>
      <c r="M43" s="70">
        <f t="shared" si="2"/>
        <v>1650</v>
      </c>
      <c r="N43" s="71">
        <f t="shared" si="3"/>
        <v>3220</v>
      </c>
    </row>
    <row r="44" spans="2:14">
      <c r="B44" s="64" t="s">
        <v>56</v>
      </c>
      <c r="C44" s="64" t="s">
        <v>197</v>
      </c>
      <c r="D44" s="72">
        <v>47</v>
      </c>
      <c r="E44" s="72">
        <v>33</v>
      </c>
      <c r="F44" s="72">
        <v>22</v>
      </c>
      <c r="G44" s="72">
        <v>17</v>
      </c>
      <c r="L44" s="65">
        <v>37</v>
      </c>
      <c r="M44" s="70">
        <f t="shared" si="2"/>
        <v>1690</v>
      </c>
      <c r="N44" s="71">
        <f t="shared" si="3"/>
        <v>3290</v>
      </c>
    </row>
    <row r="45" spans="2:14">
      <c r="B45" s="64" t="s">
        <v>231</v>
      </c>
      <c r="C45" s="64" t="s">
        <v>197</v>
      </c>
      <c r="D45" s="72">
        <v>108</v>
      </c>
      <c r="E45" s="72">
        <v>80</v>
      </c>
      <c r="F45" s="72">
        <v>57</v>
      </c>
      <c r="G45" s="72">
        <v>45</v>
      </c>
      <c r="L45" s="65">
        <v>38</v>
      </c>
      <c r="M45" s="70">
        <f t="shared" si="2"/>
        <v>1730</v>
      </c>
      <c r="N45" s="71">
        <f t="shared" si="3"/>
        <v>3360</v>
      </c>
    </row>
    <row r="46" spans="2:14">
      <c r="B46" s="64" t="s">
        <v>232</v>
      </c>
      <c r="C46" s="64" t="s">
        <v>197</v>
      </c>
      <c r="D46" s="72">
        <v>108</v>
      </c>
      <c r="E46" s="72">
        <v>80</v>
      </c>
      <c r="F46" s="72">
        <v>57</v>
      </c>
      <c r="G46" s="72">
        <v>45</v>
      </c>
      <c r="L46" s="65">
        <v>39</v>
      </c>
      <c r="M46" s="70">
        <f t="shared" si="2"/>
        <v>1770</v>
      </c>
      <c r="N46" s="71">
        <f t="shared" si="3"/>
        <v>3430</v>
      </c>
    </row>
    <row r="47" spans="2:14">
      <c r="B47" s="64" t="s">
        <v>57</v>
      </c>
      <c r="C47" s="64" t="s">
        <v>197</v>
      </c>
      <c r="D47" s="72">
        <v>108</v>
      </c>
      <c r="E47" s="72">
        <v>80</v>
      </c>
      <c r="F47" s="72">
        <v>57</v>
      </c>
      <c r="G47" s="72">
        <v>45</v>
      </c>
      <c r="L47" s="65">
        <v>40</v>
      </c>
      <c r="M47" s="70">
        <f t="shared" si="2"/>
        <v>1810</v>
      </c>
      <c r="N47" s="71">
        <f t="shared" si="3"/>
        <v>3500</v>
      </c>
    </row>
    <row r="48" spans="2:14">
      <c r="B48" s="64" t="s">
        <v>58</v>
      </c>
      <c r="C48" s="64" t="s">
        <v>197</v>
      </c>
      <c r="D48" s="72">
        <v>47</v>
      </c>
      <c r="E48" s="72">
        <v>33</v>
      </c>
      <c r="F48" s="72">
        <v>22</v>
      </c>
      <c r="G48" s="72">
        <v>17</v>
      </c>
      <c r="L48" s="65">
        <v>41</v>
      </c>
      <c r="M48" s="70">
        <f t="shared" si="2"/>
        <v>1850</v>
      </c>
      <c r="N48" s="71">
        <f t="shared" si="3"/>
        <v>3570</v>
      </c>
    </row>
    <row r="49" spans="2:14">
      <c r="B49" s="64" t="s">
        <v>59</v>
      </c>
      <c r="C49" s="64" t="s">
        <v>197</v>
      </c>
      <c r="D49" s="72">
        <v>77</v>
      </c>
      <c r="E49" s="72">
        <v>57</v>
      </c>
      <c r="F49" s="72">
        <v>40</v>
      </c>
      <c r="G49" s="72">
        <v>32</v>
      </c>
      <c r="L49" s="65">
        <v>42</v>
      </c>
      <c r="M49" s="70">
        <f t="shared" si="2"/>
        <v>1890</v>
      </c>
      <c r="N49" s="71">
        <f t="shared" si="3"/>
        <v>3640</v>
      </c>
    </row>
    <row r="50" spans="2:14">
      <c r="B50" s="64" t="s">
        <v>233</v>
      </c>
      <c r="C50" s="64" t="s">
        <v>197</v>
      </c>
      <c r="D50" s="72">
        <v>77</v>
      </c>
      <c r="E50" s="72">
        <v>57</v>
      </c>
      <c r="F50" s="72">
        <v>40</v>
      </c>
      <c r="G50" s="72">
        <v>32</v>
      </c>
      <c r="L50" s="65">
        <v>43</v>
      </c>
      <c r="M50" s="70">
        <f t="shared" si="2"/>
        <v>1930</v>
      </c>
      <c r="N50" s="71">
        <f t="shared" si="3"/>
        <v>3710</v>
      </c>
    </row>
    <row r="51" spans="2:14">
      <c r="B51" s="64" t="s">
        <v>60</v>
      </c>
      <c r="C51" s="64" t="s">
        <v>197</v>
      </c>
      <c r="D51" s="72">
        <v>47</v>
      </c>
      <c r="E51" s="72">
        <v>33</v>
      </c>
      <c r="F51" s="72">
        <v>22</v>
      </c>
      <c r="G51" s="72">
        <v>17</v>
      </c>
      <c r="L51" s="65">
        <v>44</v>
      </c>
      <c r="M51" s="70">
        <f t="shared" si="2"/>
        <v>1970</v>
      </c>
      <c r="N51" s="71">
        <f t="shared" si="3"/>
        <v>3780</v>
      </c>
    </row>
    <row r="52" spans="2:14">
      <c r="B52" s="64" t="s">
        <v>234</v>
      </c>
      <c r="C52" s="64" t="s">
        <v>197</v>
      </c>
      <c r="D52" s="72">
        <v>108</v>
      </c>
      <c r="E52" s="72">
        <v>80</v>
      </c>
      <c r="F52" s="72">
        <v>57</v>
      </c>
      <c r="G52" s="72">
        <v>45</v>
      </c>
      <c r="L52" s="65">
        <v>45</v>
      </c>
      <c r="M52" s="70">
        <f t="shared" si="2"/>
        <v>2010</v>
      </c>
      <c r="N52" s="71">
        <f t="shared" si="3"/>
        <v>3850</v>
      </c>
    </row>
    <row r="53" spans="2:14">
      <c r="B53" s="64" t="s">
        <v>61</v>
      </c>
      <c r="C53" s="64" t="s">
        <v>197</v>
      </c>
      <c r="D53" s="72">
        <v>47</v>
      </c>
      <c r="E53" s="72">
        <v>33</v>
      </c>
      <c r="F53" s="72">
        <v>22</v>
      </c>
      <c r="G53" s="72">
        <v>17</v>
      </c>
      <c r="L53" s="65">
        <v>46</v>
      </c>
      <c r="M53" s="70">
        <f t="shared" si="2"/>
        <v>2050</v>
      </c>
      <c r="N53" s="71">
        <f t="shared" si="3"/>
        <v>3920</v>
      </c>
    </row>
    <row r="54" spans="2:14">
      <c r="B54" s="64" t="s">
        <v>235</v>
      </c>
      <c r="C54" s="64" t="s">
        <v>197</v>
      </c>
      <c r="D54" s="72">
        <v>47</v>
      </c>
      <c r="E54" s="72">
        <v>33</v>
      </c>
      <c r="F54" s="72">
        <v>22</v>
      </c>
      <c r="G54" s="72">
        <v>17</v>
      </c>
      <c r="L54" s="65">
        <v>47</v>
      </c>
      <c r="M54" s="70">
        <f t="shared" si="2"/>
        <v>2090</v>
      </c>
      <c r="N54" s="71">
        <f t="shared" si="3"/>
        <v>3990</v>
      </c>
    </row>
    <row r="55" spans="2:14">
      <c r="B55" s="64" t="s">
        <v>236</v>
      </c>
      <c r="C55" s="64" t="s">
        <v>197</v>
      </c>
      <c r="D55" s="72">
        <v>47</v>
      </c>
      <c r="E55" s="72">
        <v>33</v>
      </c>
      <c r="F55" s="72">
        <v>22</v>
      </c>
      <c r="G55" s="72">
        <v>17</v>
      </c>
      <c r="L55" s="65">
        <v>48</v>
      </c>
      <c r="M55" s="70">
        <f t="shared" si="2"/>
        <v>2130</v>
      </c>
      <c r="N55" s="71">
        <f t="shared" si="3"/>
        <v>4060</v>
      </c>
    </row>
    <row r="56" spans="2:14">
      <c r="B56" s="64" t="s">
        <v>62</v>
      </c>
      <c r="C56" s="64" t="s">
        <v>197</v>
      </c>
      <c r="D56" s="72">
        <v>47</v>
      </c>
      <c r="E56" s="72">
        <v>33</v>
      </c>
      <c r="F56" s="72">
        <v>22</v>
      </c>
      <c r="G56" s="72">
        <v>17</v>
      </c>
      <c r="L56" s="65">
        <v>49</v>
      </c>
      <c r="M56" s="70">
        <f t="shared" si="2"/>
        <v>2170</v>
      </c>
      <c r="N56" s="71">
        <f t="shared" si="3"/>
        <v>4130</v>
      </c>
    </row>
    <row r="57" spans="2:14">
      <c r="B57" s="64" t="s">
        <v>63</v>
      </c>
      <c r="C57" s="64" t="s">
        <v>197</v>
      </c>
      <c r="D57" s="72">
        <v>77</v>
      </c>
      <c r="E57" s="72">
        <v>57</v>
      </c>
      <c r="F57" s="72">
        <v>40</v>
      </c>
      <c r="G57" s="72">
        <v>32</v>
      </c>
      <c r="L57" s="65">
        <v>50</v>
      </c>
      <c r="M57" s="70">
        <f t="shared" si="2"/>
        <v>2210</v>
      </c>
      <c r="N57" s="71">
        <f t="shared" si="3"/>
        <v>4200</v>
      </c>
    </row>
    <row r="58" spans="2:14">
      <c r="B58" s="64" t="s">
        <v>64</v>
      </c>
      <c r="C58" s="64" t="s">
        <v>197</v>
      </c>
      <c r="D58" s="72">
        <v>108</v>
      </c>
      <c r="E58" s="72">
        <v>80</v>
      </c>
      <c r="F58" s="72">
        <v>57</v>
      </c>
      <c r="G58" s="72">
        <v>45</v>
      </c>
      <c r="L58" s="65">
        <v>51</v>
      </c>
      <c r="M58" s="70">
        <f t="shared" si="2"/>
        <v>2250</v>
      </c>
      <c r="N58" s="71">
        <f t="shared" si="3"/>
        <v>4270</v>
      </c>
    </row>
    <row r="59" spans="2:14">
      <c r="B59" s="64" t="s">
        <v>237</v>
      </c>
      <c r="C59" s="64" t="s">
        <v>197</v>
      </c>
      <c r="D59" s="72">
        <v>47</v>
      </c>
      <c r="E59" s="72">
        <v>33</v>
      </c>
      <c r="F59" s="72">
        <v>22</v>
      </c>
      <c r="G59" s="72">
        <v>17</v>
      </c>
      <c r="L59" s="65">
        <v>52</v>
      </c>
      <c r="M59" s="70">
        <f t="shared" si="2"/>
        <v>2290</v>
      </c>
      <c r="N59" s="71">
        <f t="shared" si="3"/>
        <v>4340</v>
      </c>
    </row>
    <row r="60" spans="2:14">
      <c r="B60" s="64" t="s">
        <v>65</v>
      </c>
      <c r="C60" s="64" t="s">
        <v>197</v>
      </c>
      <c r="D60" s="72">
        <v>108</v>
      </c>
      <c r="E60" s="72">
        <v>80</v>
      </c>
      <c r="F60" s="72">
        <v>57</v>
      </c>
      <c r="G60" s="72">
        <v>45</v>
      </c>
      <c r="L60" s="65">
        <v>53</v>
      </c>
      <c r="M60" s="70">
        <f t="shared" si="2"/>
        <v>2330</v>
      </c>
      <c r="N60" s="71">
        <f t="shared" si="3"/>
        <v>4410</v>
      </c>
    </row>
    <row r="61" spans="2:14">
      <c r="B61" s="64" t="s">
        <v>238</v>
      </c>
      <c r="C61" s="64" t="s">
        <v>197</v>
      </c>
      <c r="D61" s="72">
        <v>77</v>
      </c>
      <c r="E61" s="72">
        <v>57</v>
      </c>
      <c r="F61" s="72">
        <v>40</v>
      </c>
      <c r="G61" s="72">
        <v>32</v>
      </c>
      <c r="L61" s="65">
        <v>54</v>
      </c>
      <c r="M61" s="70">
        <f t="shared" si="2"/>
        <v>2370</v>
      </c>
      <c r="N61" s="71">
        <f t="shared" si="3"/>
        <v>4480</v>
      </c>
    </row>
    <row r="62" spans="2:14">
      <c r="B62" s="64" t="s">
        <v>239</v>
      </c>
      <c r="C62" s="64" t="s">
        <v>197</v>
      </c>
      <c r="D62" s="72">
        <v>47</v>
      </c>
      <c r="E62" s="72">
        <v>33</v>
      </c>
      <c r="F62" s="72">
        <v>22</v>
      </c>
      <c r="G62" s="72">
        <v>17</v>
      </c>
      <c r="L62" s="65">
        <v>55</v>
      </c>
      <c r="M62" s="70">
        <f t="shared" si="2"/>
        <v>2410</v>
      </c>
      <c r="N62" s="71">
        <f t="shared" si="3"/>
        <v>4550</v>
      </c>
    </row>
    <row r="63" spans="2:14">
      <c r="B63" s="64" t="s">
        <v>66</v>
      </c>
      <c r="C63" s="64" t="s">
        <v>197</v>
      </c>
      <c r="D63" s="72">
        <v>47</v>
      </c>
      <c r="E63" s="72">
        <v>33</v>
      </c>
      <c r="F63" s="72">
        <v>22</v>
      </c>
      <c r="G63" s="72">
        <v>17</v>
      </c>
      <c r="L63" s="65">
        <v>56</v>
      </c>
      <c r="M63" s="70">
        <f t="shared" si="2"/>
        <v>2450</v>
      </c>
      <c r="N63" s="71">
        <f t="shared" si="3"/>
        <v>4620</v>
      </c>
    </row>
    <row r="64" spans="2:14">
      <c r="B64" s="64" t="s">
        <v>240</v>
      </c>
      <c r="C64" s="64" t="s">
        <v>197</v>
      </c>
      <c r="D64" s="72">
        <v>77</v>
      </c>
      <c r="E64" s="72">
        <v>57</v>
      </c>
      <c r="F64" s="72">
        <v>40</v>
      </c>
      <c r="G64" s="72">
        <v>32</v>
      </c>
      <c r="L64" s="65">
        <v>57</v>
      </c>
      <c r="M64" s="70">
        <f t="shared" si="2"/>
        <v>2490</v>
      </c>
      <c r="N64" s="71">
        <f t="shared" si="3"/>
        <v>4690</v>
      </c>
    </row>
    <row r="65" spans="2:14">
      <c r="B65" s="64" t="s">
        <v>241</v>
      </c>
      <c r="C65" s="64" t="s">
        <v>197</v>
      </c>
      <c r="D65" s="72">
        <v>47</v>
      </c>
      <c r="E65" s="72">
        <v>33</v>
      </c>
      <c r="F65" s="72">
        <v>22</v>
      </c>
      <c r="G65" s="72">
        <v>17</v>
      </c>
      <c r="L65" s="65">
        <v>58</v>
      </c>
      <c r="M65" s="70">
        <f t="shared" si="2"/>
        <v>2530</v>
      </c>
      <c r="N65" s="71">
        <f t="shared" si="3"/>
        <v>4760</v>
      </c>
    </row>
    <row r="66" spans="2:14">
      <c r="B66" s="64" t="s">
        <v>242</v>
      </c>
      <c r="C66" s="64" t="s">
        <v>197</v>
      </c>
      <c r="D66" s="72">
        <v>47</v>
      </c>
      <c r="E66" s="72">
        <v>33</v>
      </c>
      <c r="F66" s="72">
        <v>22</v>
      </c>
      <c r="G66" s="72">
        <v>17</v>
      </c>
      <c r="L66" s="65">
        <v>59</v>
      </c>
      <c r="M66" s="70">
        <f t="shared" si="2"/>
        <v>2570</v>
      </c>
      <c r="N66" s="71">
        <f t="shared" si="3"/>
        <v>4830</v>
      </c>
    </row>
    <row r="67" spans="2:14">
      <c r="B67" s="64" t="s">
        <v>243</v>
      </c>
      <c r="C67" s="64" t="s">
        <v>197</v>
      </c>
      <c r="D67" s="72">
        <v>47</v>
      </c>
      <c r="E67" s="72">
        <v>33</v>
      </c>
      <c r="F67" s="72">
        <v>22</v>
      </c>
      <c r="G67" s="72">
        <v>17</v>
      </c>
      <c r="L67" s="65">
        <v>60</v>
      </c>
      <c r="M67" s="70">
        <f t="shared" si="2"/>
        <v>2610</v>
      </c>
      <c r="N67" s="71">
        <f t="shared" si="3"/>
        <v>4900</v>
      </c>
    </row>
    <row r="68" spans="2:14">
      <c r="B68" s="64" t="s">
        <v>351</v>
      </c>
      <c r="C68" s="64" t="s">
        <v>197</v>
      </c>
      <c r="D68" s="72">
        <v>108</v>
      </c>
      <c r="E68" s="72">
        <v>80</v>
      </c>
      <c r="F68" s="72">
        <v>57</v>
      </c>
      <c r="G68" s="72">
        <v>45</v>
      </c>
      <c r="L68" s="73">
        <v>61</v>
      </c>
      <c r="M68" s="70">
        <f t="shared" si="2"/>
        <v>2650</v>
      </c>
      <c r="N68" s="74">
        <f>((L68-$L$67)*50)+4900</f>
        <v>4950</v>
      </c>
    </row>
    <row r="69" spans="2:14">
      <c r="B69" s="64" t="s">
        <v>67</v>
      </c>
      <c r="C69" s="64" t="s">
        <v>197</v>
      </c>
      <c r="D69" s="72">
        <v>77</v>
      </c>
      <c r="E69" s="72">
        <v>57</v>
      </c>
      <c r="F69" s="72">
        <v>40</v>
      </c>
      <c r="G69" s="72">
        <v>32</v>
      </c>
      <c r="L69" s="65">
        <v>62</v>
      </c>
      <c r="M69" s="70">
        <f t="shared" si="2"/>
        <v>2690</v>
      </c>
      <c r="N69" s="74">
        <f t="shared" ref="N69:N97" si="4">((L69-$L$67)*50)+4900</f>
        <v>5000</v>
      </c>
    </row>
    <row r="70" spans="2:14">
      <c r="B70" s="64" t="s">
        <v>68</v>
      </c>
      <c r="C70" s="64" t="s">
        <v>197</v>
      </c>
      <c r="D70" s="72">
        <v>108</v>
      </c>
      <c r="E70" s="72">
        <v>80</v>
      </c>
      <c r="F70" s="72">
        <v>57</v>
      </c>
      <c r="G70" s="72">
        <v>45</v>
      </c>
      <c r="L70" s="65">
        <v>63</v>
      </c>
      <c r="M70" s="70">
        <f t="shared" si="2"/>
        <v>2730</v>
      </c>
      <c r="N70" s="74">
        <f t="shared" si="4"/>
        <v>5050</v>
      </c>
    </row>
    <row r="71" spans="2:14">
      <c r="B71" s="64" t="s">
        <v>244</v>
      </c>
      <c r="C71" s="64" t="s">
        <v>197</v>
      </c>
      <c r="D71" s="72">
        <v>108</v>
      </c>
      <c r="E71" s="72">
        <v>80</v>
      </c>
      <c r="F71" s="72">
        <v>57</v>
      </c>
      <c r="G71" s="72">
        <v>45</v>
      </c>
      <c r="L71" s="65">
        <v>64</v>
      </c>
      <c r="M71" s="70">
        <f t="shared" si="2"/>
        <v>2770</v>
      </c>
      <c r="N71" s="74">
        <f t="shared" si="4"/>
        <v>5100</v>
      </c>
    </row>
    <row r="72" spans="2:14">
      <c r="B72" s="64" t="s">
        <v>245</v>
      </c>
      <c r="C72" s="64" t="s">
        <v>197</v>
      </c>
      <c r="D72" s="72">
        <v>77</v>
      </c>
      <c r="E72" s="72">
        <v>57</v>
      </c>
      <c r="F72" s="72">
        <v>40</v>
      </c>
      <c r="G72" s="72">
        <v>32</v>
      </c>
      <c r="L72" s="65">
        <v>65</v>
      </c>
      <c r="M72" s="70">
        <f t="shared" si="2"/>
        <v>2810</v>
      </c>
      <c r="N72" s="74">
        <f t="shared" si="4"/>
        <v>5150</v>
      </c>
    </row>
    <row r="73" spans="2:14">
      <c r="B73" s="64" t="s">
        <v>325</v>
      </c>
      <c r="C73" s="64" t="s">
        <v>197</v>
      </c>
      <c r="D73" s="72">
        <v>47</v>
      </c>
      <c r="E73" s="72">
        <v>33</v>
      </c>
      <c r="F73" s="72">
        <v>22</v>
      </c>
      <c r="G73" s="72">
        <v>17</v>
      </c>
      <c r="L73" s="65">
        <v>66</v>
      </c>
      <c r="M73" s="70">
        <f t="shared" si="2"/>
        <v>2850</v>
      </c>
      <c r="N73" s="74">
        <f t="shared" si="4"/>
        <v>5200</v>
      </c>
    </row>
    <row r="74" spans="2:14">
      <c r="B74" s="64" t="s">
        <v>246</v>
      </c>
      <c r="C74" s="64" t="s">
        <v>197</v>
      </c>
      <c r="D74" s="72">
        <v>108</v>
      </c>
      <c r="E74" s="72">
        <v>80</v>
      </c>
      <c r="F74" s="72">
        <v>57</v>
      </c>
      <c r="G74" s="72">
        <v>45</v>
      </c>
      <c r="L74" s="65">
        <v>67</v>
      </c>
      <c r="M74" s="70">
        <f t="shared" si="2"/>
        <v>2890</v>
      </c>
      <c r="N74" s="74">
        <f t="shared" si="4"/>
        <v>5250</v>
      </c>
    </row>
    <row r="75" spans="2:14">
      <c r="B75" s="64" t="s">
        <v>69</v>
      </c>
      <c r="C75" s="64" t="s">
        <v>197</v>
      </c>
      <c r="D75" s="72">
        <v>77</v>
      </c>
      <c r="E75" s="72">
        <v>57</v>
      </c>
      <c r="F75" s="72">
        <v>40</v>
      </c>
      <c r="G75" s="72">
        <v>32</v>
      </c>
      <c r="L75" s="65">
        <v>68</v>
      </c>
      <c r="M75" s="70">
        <f t="shared" si="2"/>
        <v>2930</v>
      </c>
      <c r="N75" s="74">
        <f t="shared" si="4"/>
        <v>5300</v>
      </c>
    </row>
    <row r="76" spans="2:14">
      <c r="B76" s="64" t="s">
        <v>70</v>
      </c>
      <c r="C76" s="64" t="s">
        <v>197</v>
      </c>
      <c r="D76" s="72">
        <v>47</v>
      </c>
      <c r="E76" s="72">
        <v>33</v>
      </c>
      <c r="F76" s="72">
        <v>22</v>
      </c>
      <c r="G76" s="72">
        <v>17</v>
      </c>
      <c r="L76" s="65">
        <v>69</v>
      </c>
      <c r="M76" s="70">
        <f t="shared" si="2"/>
        <v>2970</v>
      </c>
      <c r="N76" s="74">
        <f t="shared" si="4"/>
        <v>5350</v>
      </c>
    </row>
    <row r="77" spans="2:14">
      <c r="B77" s="64" t="s">
        <v>247</v>
      </c>
      <c r="C77" s="64" t="s">
        <v>197</v>
      </c>
      <c r="D77" s="72">
        <v>77</v>
      </c>
      <c r="E77" s="72">
        <v>57</v>
      </c>
      <c r="F77" s="72">
        <v>40</v>
      </c>
      <c r="G77" s="72">
        <v>32</v>
      </c>
      <c r="L77" s="65">
        <v>70</v>
      </c>
      <c r="M77" s="70">
        <f t="shared" si="2"/>
        <v>3010</v>
      </c>
      <c r="N77" s="74">
        <f t="shared" si="4"/>
        <v>5400</v>
      </c>
    </row>
    <row r="78" spans="2:14">
      <c r="B78" s="64" t="s">
        <v>248</v>
      </c>
      <c r="C78" s="64" t="s">
        <v>197</v>
      </c>
      <c r="D78" s="72">
        <v>108</v>
      </c>
      <c r="E78" s="72">
        <v>80</v>
      </c>
      <c r="F78" s="72">
        <v>57</v>
      </c>
      <c r="G78" s="72">
        <v>45</v>
      </c>
      <c r="L78" s="65">
        <v>71</v>
      </c>
      <c r="M78" s="70">
        <f t="shared" si="2"/>
        <v>3050</v>
      </c>
      <c r="N78" s="74">
        <f t="shared" si="4"/>
        <v>5450</v>
      </c>
    </row>
    <row r="79" spans="2:14">
      <c r="B79" s="64" t="s">
        <v>249</v>
      </c>
      <c r="C79" s="64" t="s">
        <v>197</v>
      </c>
      <c r="D79" s="72">
        <v>77</v>
      </c>
      <c r="E79" s="72">
        <v>57</v>
      </c>
      <c r="F79" s="72">
        <v>40</v>
      </c>
      <c r="G79" s="72">
        <v>32</v>
      </c>
      <c r="L79" s="65">
        <v>72</v>
      </c>
      <c r="M79" s="70">
        <f t="shared" si="2"/>
        <v>3090</v>
      </c>
      <c r="N79" s="74">
        <f t="shared" si="4"/>
        <v>5500</v>
      </c>
    </row>
    <row r="80" spans="2:14">
      <c r="B80" s="64" t="s">
        <v>321</v>
      </c>
      <c r="C80" s="64" t="s">
        <v>197</v>
      </c>
      <c r="D80" s="72">
        <v>47</v>
      </c>
      <c r="E80" s="72">
        <v>33</v>
      </c>
      <c r="F80" s="72">
        <v>22</v>
      </c>
      <c r="G80" s="72">
        <v>17</v>
      </c>
      <c r="L80" s="65">
        <v>73</v>
      </c>
      <c r="M80" s="70">
        <f t="shared" si="2"/>
        <v>3130</v>
      </c>
      <c r="N80" s="74">
        <f t="shared" si="4"/>
        <v>5550</v>
      </c>
    </row>
    <row r="81" spans="2:14">
      <c r="B81" s="64" t="s">
        <v>71</v>
      </c>
      <c r="C81" s="64" t="s">
        <v>197</v>
      </c>
      <c r="D81" s="72">
        <v>77</v>
      </c>
      <c r="E81" s="72">
        <v>57</v>
      </c>
      <c r="F81" s="72">
        <v>40</v>
      </c>
      <c r="G81" s="72">
        <v>32</v>
      </c>
      <c r="L81" s="65">
        <v>74</v>
      </c>
      <c r="M81" s="70">
        <f t="shared" si="2"/>
        <v>3170</v>
      </c>
      <c r="N81" s="74">
        <f t="shared" si="4"/>
        <v>5600</v>
      </c>
    </row>
    <row r="82" spans="2:14">
      <c r="B82" s="64" t="s">
        <v>72</v>
      </c>
      <c r="C82" s="64" t="s">
        <v>197</v>
      </c>
      <c r="D82" s="72">
        <v>47</v>
      </c>
      <c r="E82" s="72">
        <v>33</v>
      </c>
      <c r="F82" s="72">
        <v>22</v>
      </c>
      <c r="G82" s="72">
        <v>17</v>
      </c>
      <c r="L82" s="65">
        <v>75</v>
      </c>
      <c r="M82" s="70">
        <f t="shared" si="2"/>
        <v>3210</v>
      </c>
      <c r="N82" s="74">
        <f t="shared" si="4"/>
        <v>5650</v>
      </c>
    </row>
    <row r="83" spans="2:14">
      <c r="B83" s="64" t="s">
        <v>310</v>
      </c>
      <c r="C83" s="64" t="s">
        <v>197</v>
      </c>
      <c r="D83" s="72">
        <v>77</v>
      </c>
      <c r="E83" s="72">
        <v>57</v>
      </c>
      <c r="F83" s="72">
        <v>40</v>
      </c>
      <c r="G83" s="72">
        <v>32</v>
      </c>
      <c r="L83" s="65">
        <v>76</v>
      </c>
      <c r="M83" s="70">
        <f t="shared" si="2"/>
        <v>3250</v>
      </c>
      <c r="N83" s="74">
        <f t="shared" si="4"/>
        <v>5700</v>
      </c>
    </row>
    <row r="84" spans="2:14">
      <c r="B84" s="64" t="s">
        <v>250</v>
      </c>
      <c r="C84" s="64" t="s">
        <v>197</v>
      </c>
      <c r="D84" s="72">
        <v>47</v>
      </c>
      <c r="E84" s="72">
        <v>33</v>
      </c>
      <c r="F84" s="72">
        <v>22</v>
      </c>
      <c r="G84" s="72">
        <v>17</v>
      </c>
      <c r="L84" s="65">
        <v>77</v>
      </c>
      <c r="M84" s="70">
        <f t="shared" si="2"/>
        <v>3290</v>
      </c>
      <c r="N84" s="74">
        <f t="shared" si="4"/>
        <v>5750</v>
      </c>
    </row>
    <row r="85" spans="2:14">
      <c r="B85" s="64" t="s">
        <v>251</v>
      </c>
      <c r="C85" s="64" t="s">
        <v>197</v>
      </c>
      <c r="D85" s="72">
        <v>47</v>
      </c>
      <c r="E85" s="72">
        <v>33</v>
      </c>
      <c r="F85" s="72">
        <v>22</v>
      </c>
      <c r="G85" s="72">
        <v>17</v>
      </c>
      <c r="L85" s="65">
        <v>78</v>
      </c>
      <c r="M85" s="70">
        <f t="shared" si="2"/>
        <v>3330</v>
      </c>
      <c r="N85" s="74">
        <f t="shared" si="4"/>
        <v>5800</v>
      </c>
    </row>
    <row r="86" spans="2:14">
      <c r="B86" s="64" t="s">
        <v>252</v>
      </c>
      <c r="C86" s="64" t="s">
        <v>197</v>
      </c>
      <c r="D86" s="72">
        <v>47</v>
      </c>
      <c r="E86" s="72">
        <v>33</v>
      </c>
      <c r="F86" s="72">
        <v>22</v>
      </c>
      <c r="G86" s="72">
        <v>17</v>
      </c>
      <c r="L86" s="65">
        <v>79</v>
      </c>
      <c r="M86" s="70">
        <f t="shared" si="2"/>
        <v>3370</v>
      </c>
      <c r="N86" s="74">
        <f t="shared" si="4"/>
        <v>5850</v>
      </c>
    </row>
    <row r="87" spans="2:14">
      <c r="B87" s="64" t="s">
        <v>320</v>
      </c>
      <c r="C87" s="64" t="s">
        <v>197</v>
      </c>
      <c r="D87" s="72">
        <v>47</v>
      </c>
      <c r="E87" s="72">
        <v>33</v>
      </c>
      <c r="F87" s="72">
        <v>22</v>
      </c>
      <c r="G87" s="72">
        <v>17</v>
      </c>
      <c r="L87" s="65">
        <v>80</v>
      </c>
      <c r="M87" s="70">
        <f t="shared" ref="M87:M97" si="5">((L87-$L$21)*40)+770</f>
        <v>3410</v>
      </c>
      <c r="N87" s="74">
        <f t="shared" si="4"/>
        <v>5900</v>
      </c>
    </row>
    <row r="88" spans="2:14">
      <c r="B88" s="64" t="s">
        <v>253</v>
      </c>
      <c r="C88" s="64" t="s">
        <v>197</v>
      </c>
      <c r="D88" s="72">
        <v>108</v>
      </c>
      <c r="E88" s="72">
        <v>80</v>
      </c>
      <c r="F88" s="72">
        <v>57</v>
      </c>
      <c r="G88" s="72">
        <v>45</v>
      </c>
      <c r="L88" s="65">
        <v>81</v>
      </c>
      <c r="M88" s="70">
        <f t="shared" si="5"/>
        <v>3450</v>
      </c>
      <c r="N88" s="74">
        <f t="shared" si="4"/>
        <v>5950</v>
      </c>
    </row>
    <row r="89" spans="2:14">
      <c r="B89" s="64" t="s">
        <v>254</v>
      </c>
      <c r="C89" s="64" t="s">
        <v>197</v>
      </c>
      <c r="D89" s="72">
        <v>47</v>
      </c>
      <c r="E89" s="72">
        <v>33</v>
      </c>
      <c r="F89" s="72">
        <v>22</v>
      </c>
      <c r="G89" s="72">
        <v>17</v>
      </c>
      <c r="L89" s="65">
        <v>82</v>
      </c>
      <c r="M89" s="70">
        <f t="shared" si="5"/>
        <v>3490</v>
      </c>
      <c r="N89" s="74">
        <f t="shared" si="4"/>
        <v>6000</v>
      </c>
    </row>
    <row r="90" spans="2:14">
      <c r="B90" s="64" t="s">
        <v>73</v>
      </c>
      <c r="C90" s="64" t="s">
        <v>197</v>
      </c>
      <c r="D90" s="72">
        <v>77</v>
      </c>
      <c r="E90" s="72">
        <v>57</v>
      </c>
      <c r="F90" s="72">
        <v>40</v>
      </c>
      <c r="G90" s="72">
        <v>32</v>
      </c>
      <c r="L90" s="65">
        <v>83</v>
      </c>
      <c r="M90" s="70">
        <f t="shared" si="5"/>
        <v>3530</v>
      </c>
      <c r="N90" s="74">
        <f t="shared" si="4"/>
        <v>6050</v>
      </c>
    </row>
    <row r="91" spans="2:14">
      <c r="B91" s="64" t="s">
        <v>255</v>
      </c>
      <c r="C91" s="64" t="s">
        <v>197</v>
      </c>
      <c r="D91" s="72">
        <v>47</v>
      </c>
      <c r="E91" s="72">
        <v>33</v>
      </c>
      <c r="F91" s="72">
        <v>22</v>
      </c>
      <c r="G91" s="72">
        <v>17</v>
      </c>
      <c r="L91" s="65">
        <v>84</v>
      </c>
      <c r="M91" s="70">
        <f t="shared" si="5"/>
        <v>3570</v>
      </c>
      <c r="N91" s="74">
        <f t="shared" si="4"/>
        <v>6100</v>
      </c>
    </row>
    <row r="92" spans="2:14">
      <c r="B92" s="64" t="s">
        <v>256</v>
      </c>
      <c r="C92" s="64" t="s">
        <v>197</v>
      </c>
      <c r="D92" s="72">
        <v>108</v>
      </c>
      <c r="E92" s="72">
        <v>80</v>
      </c>
      <c r="F92" s="72">
        <v>57</v>
      </c>
      <c r="G92" s="72">
        <v>45</v>
      </c>
      <c r="L92" s="65">
        <v>85</v>
      </c>
      <c r="M92" s="70">
        <f t="shared" si="5"/>
        <v>3610</v>
      </c>
      <c r="N92" s="74">
        <f t="shared" si="4"/>
        <v>6150</v>
      </c>
    </row>
    <row r="93" spans="2:14">
      <c r="B93" s="64" t="s">
        <v>74</v>
      </c>
      <c r="C93" s="64" t="s">
        <v>197</v>
      </c>
      <c r="D93" s="72">
        <v>77</v>
      </c>
      <c r="E93" s="72">
        <v>57</v>
      </c>
      <c r="F93" s="72">
        <v>40</v>
      </c>
      <c r="G93" s="72">
        <v>32</v>
      </c>
      <c r="L93" s="65">
        <v>86</v>
      </c>
      <c r="M93" s="70">
        <f t="shared" si="5"/>
        <v>3650</v>
      </c>
      <c r="N93" s="74">
        <f t="shared" si="4"/>
        <v>6200</v>
      </c>
    </row>
    <row r="94" spans="2:14">
      <c r="B94" s="64" t="s">
        <v>257</v>
      </c>
      <c r="C94" s="64" t="s">
        <v>197</v>
      </c>
      <c r="D94" s="72">
        <v>47</v>
      </c>
      <c r="E94" s="72">
        <v>33</v>
      </c>
      <c r="F94" s="72">
        <v>22</v>
      </c>
      <c r="G94" s="72">
        <v>17</v>
      </c>
      <c r="L94" s="65">
        <v>87</v>
      </c>
      <c r="M94" s="70">
        <f t="shared" si="5"/>
        <v>3690</v>
      </c>
      <c r="N94" s="74">
        <f t="shared" si="4"/>
        <v>6250</v>
      </c>
    </row>
    <row r="95" spans="2:14">
      <c r="B95" s="64" t="s">
        <v>258</v>
      </c>
      <c r="C95" s="64" t="s">
        <v>197</v>
      </c>
      <c r="D95" s="72">
        <v>77</v>
      </c>
      <c r="E95" s="72">
        <v>57</v>
      </c>
      <c r="F95" s="72">
        <v>40</v>
      </c>
      <c r="G95" s="72">
        <v>32</v>
      </c>
      <c r="L95" s="65">
        <v>88</v>
      </c>
      <c r="M95" s="70">
        <f t="shared" si="5"/>
        <v>3730</v>
      </c>
      <c r="N95" s="74">
        <f t="shared" si="4"/>
        <v>6300</v>
      </c>
    </row>
    <row r="96" spans="2:14">
      <c r="B96" s="64" t="s">
        <v>259</v>
      </c>
      <c r="C96" s="64" t="s">
        <v>197</v>
      </c>
      <c r="D96" s="72">
        <v>47</v>
      </c>
      <c r="E96" s="72">
        <v>33</v>
      </c>
      <c r="F96" s="72">
        <v>22</v>
      </c>
      <c r="G96" s="72">
        <v>17</v>
      </c>
      <c r="L96" s="65">
        <v>89</v>
      </c>
      <c r="M96" s="70">
        <f t="shared" si="5"/>
        <v>3770</v>
      </c>
      <c r="N96" s="74">
        <f t="shared" si="4"/>
        <v>6350</v>
      </c>
    </row>
    <row r="97" spans="2:14">
      <c r="B97" s="64" t="s">
        <v>260</v>
      </c>
      <c r="C97" s="64" t="s">
        <v>197</v>
      </c>
      <c r="D97" s="72">
        <v>77</v>
      </c>
      <c r="E97" s="72">
        <v>57</v>
      </c>
      <c r="F97" s="72">
        <v>40</v>
      </c>
      <c r="G97" s="72">
        <v>32</v>
      </c>
      <c r="L97" s="65">
        <v>90</v>
      </c>
      <c r="M97" s="70">
        <f t="shared" si="5"/>
        <v>3810</v>
      </c>
      <c r="N97" s="74">
        <f t="shared" si="4"/>
        <v>6400</v>
      </c>
    </row>
    <row r="98" spans="2:14">
      <c r="B98" s="64" t="s">
        <v>75</v>
      </c>
      <c r="C98" s="64" t="s">
        <v>197</v>
      </c>
      <c r="D98" s="72">
        <v>47</v>
      </c>
      <c r="E98" s="72">
        <v>33</v>
      </c>
      <c r="F98" s="72">
        <v>22</v>
      </c>
      <c r="G98" s="72">
        <v>17</v>
      </c>
    </row>
    <row r="99" spans="2:14">
      <c r="B99" s="64" t="s">
        <v>76</v>
      </c>
      <c r="C99" s="64" t="s">
        <v>197</v>
      </c>
      <c r="D99" s="72">
        <v>47</v>
      </c>
      <c r="E99" s="72">
        <v>33</v>
      </c>
      <c r="F99" s="72">
        <v>22</v>
      </c>
      <c r="G99" s="72">
        <v>17</v>
      </c>
    </row>
    <row r="100" spans="2:14">
      <c r="B100" s="64" t="s">
        <v>77</v>
      </c>
      <c r="C100" s="64" t="s">
        <v>197</v>
      </c>
      <c r="D100" s="72">
        <v>47</v>
      </c>
      <c r="E100" s="72">
        <v>33</v>
      </c>
      <c r="F100" s="72">
        <v>22</v>
      </c>
      <c r="G100" s="72">
        <v>17</v>
      </c>
    </row>
    <row r="101" spans="2:14">
      <c r="B101" s="64" t="s">
        <v>78</v>
      </c>
      <c r="C101" s="64" t="s">
        <v>197</v>
      </c>
      <c r="D101" s="72">
        <v>77</v>
      </c>
      <c r="E101" s="72">
        <v>57</v>
      </c>
      <c r="F101" s="72">
        <v>40</v>
      </c>
      <c r="G101" s="72">
        <v>32</v>
      </c>
    </row>
    <row r="102" spans="2:14">
      <c r="B102" s="64" t="s">
        <v>79</v>
      </c>
      <c r="C102" s="64" t="s">
        <v>197</v>
      </c>
      <c r="D102" s="72">
        <v>77</v>
      </c>
      <c r="E102" s="72">
        <v>57</v>
      </c>
      <c r="F102" s="72">
        <v>40</v>
      </c>
      <c r="G102" s="72">
        <v>32</v>
      </c>
    </row>
    <row r="103" spans="2:14">
      <c r="B103" s="64" t="s">
        <v>54</v>
      </c>
      <c r="C103" s="64" t="s">
        <v>197</v>
      </c>
      <c r="D103" s="72">
        <v>166</v>
      </c>
      <c r="E103" s="72">
        <v>132</v>
      </c>
      <c r="F103" s="72">
        <v>102</v>
      </c>
      <c r="G103" s="72">
        <v>92</v>
      </c>
    </row>
    <row r="104" spans="2:14">
      <c r="B104" s="64" t="s">
        <v>261</v>
      </c>
      <c r="C104" s="64" t="s">
        <v>197</v>
      </c>
      <c r="D104" s="72">
        <v>108</v>
      </c>
      <c r="E104" s="72">
        <v>80</v>
      </c>
      <c r="F104" s="72">
        <v>57</v>
      </c>
      <c r="G104" s="72">
        <v>45</v>
      </c>
    </row>
    <row r="105" spans="2:14">
      <c r="B105" s="64" t="s">
        <v>262</v>
      </c>
      <c r="C105" s="64" t="s">
        <v>197</v>
      </c>
      <c r="D105" s="72">
        <v>77</v>
      </c>
      <c r="E105" s="72">
        <v>57</v>
      </c>
      <c r="F105" s="72">
        <v>40</v>
      </c>
      <c r="G105" s="72">
        <v>32</v>
      </c>
    </row>
    <row r="106" spans="2:14">
      <c r="B106" s="64" t="s">
        <v>80</v>
      </c>
      <c r="C106" s="64" t="s">
        <v>197</v>
      </c>
      <c r="D106" s="72">
        <v>77</v>
      </c>
      <c r="E106" s="72">
        <v>57</v>
      </c>
      <c r="F106" s="72">
        <v>40</v>
      </c>
      <c r="G106" s="72">
        <v>32</v>
      </c>
    </row>
    <row r="107" spans="2:14">
      <c r="B107" s="64" t="s">
        <v>324</v>
      </c>
      <c r="C107" s="64" t="s">
        <v>197</v>
      </c>
      <c r="D107" s="72">
        <v>77</v>
      </c>
      <c r="E107" s="72">
        <v>57</v>
      </c>
      <c r="F107" s="72">
        <v>40</v>
      </c>
      <c r="G107" s="72">
        <v>32</v>
      </c>
    </row>
    <row r="108" spans="2:14">
      <c r="B108" s="64" t="s">
        <v>263</v>
      </c>
      <c r="C108" s="64" t="s">
        <v>197</v>
      </c>
      <c r="D108" s="72">
        <v>77</v>
      </c>
      <c r="E108" s="72">
        <v>57</v>
      </c>
      <c r="F108" s="72">
        <v>40</v>
      </c>
      <c r="G108" s="72">
        <v>32</v>
      </c>
    </row>
    <row r="109" spans="2:14">
      <c r="B109" s="64" t="s">
        <v>264</v>
      </c>
      <c r="C109" s="64" t="s">
        <v>197</v>
      </c>
      <c r="D109" s="72">
        <v>47</v>
      </c>
      <c r="E109" s="72">
        <v>33</v>
      </c>
      <c r="F109" s="72">
        <v>22</v>
      </c>
      <c r="G109" s="72">
        <v>17</v>
      </c>
    </row>
    <row r="110" spans="2:14">
      <c r="B110" s="64" t="s">
        <v>168</v>
      </c>
      <c r="C110" s="64" t="s">
        <v>197</v>
      </c>
      <c r="D110" s="72">
        <v>108</v>
      </c>
      <c r="E110" s="72">
        <v>80</v>
      </c>
      <c r="F110" s="72">
        <v>57</v>
      </c>
      <c r="G110" s="72">
        <v>45</v>
      </c>
    </row>
    <row r="111" spans="2:14">
      <c r="B111" s="64" t="s">
        <v>81</v>
      </c>
      <c r="C111" s="64" t="s">
        <v>197</v>
      </c>
      <c r="D111" s="72">
        <v>47</v>
      </c>
      <c r="E111" s="72">
        <v>33</v>
      </c>
      <c r="F111" s="72">
        <v>22</v>
      </c>
      <c r="G111" s="72">
        <v>17</v>
      </c>
    </row>
    <row r="112" spans="2:14">
      <c r="B112" s="64" t="s">
        <v>82</v>
      </c>
      <c r="C112" s="64" t="s">
        <v>197</v>
      </c>
      <c r="D112" s="72">
        <v>47</v>
      </c>
      <c r="E112" s="72">
        <v>33</v>
      </c>
      <c r="F112" s="72">
        <v>22</v>
      </c>
      <c r="G112" s="72">
        <v>17</v>
      </c>
    </row>
    <row r="113" spans="2:7">
      <c r="B113" s="64" t="s">
        <v>83</v>
      </c>
      <c r="C113" s="64" t="s">
        <v>197</v>
      </c>
      <c r="D113" s="72">
        <v>108</v>
      </c>
      <c r="E113" s="72">
        <v>80</v>
      </c>
      <c r="F113" s="72">
        <v>57</v>
      </c>
      <c r="G113" s="72">
        <v>45</v>
      </c>
    </row>
    <row r="114" spans="2:7">
      <c r="B114" s="64" t="s">
        <v>265</v>
      </c>
      <c r="C114" s="64" t="s">
        <v>197</v>
      </c>
      <c r="D114" s="72">
        <v>47</v>
      </c>
      <c r="E114" s="72">
        <v>33</v>
      </c>
      <c r="F114" s="72">
        <v>22</v>
      </c>
      <c r="G114" s="72">
        <v>17</v>
      </c>
    </row>
    <row r="115" spans="2:7">
      <c r="B115" s="64" t="s">
        <v>266</v>
      </c>
      <c r="C115" s="64" t="s">
        <v>197</v>
      </c>
      <c r="D115" s="72">
        <v>47</v>
      </c>
      <c r="E115" s="72">
        <v>33</v>
      </c>
      <c r="F115" s="72">
        <v>22</v>
      </c>
      <c r="G115" s="72">
        <v>17</v>
      </c>
    </row>
    <row r="116" spans="2:7">
      <c r="B116" s="64" t="s">
        <v>84</v>
      </c>
      <c r="C116" s="64" t="s">
        <v>197</v>
      </c>
      <c r="D116" s="72">
        <v>108</v>
      </c>
      <c r="E116" s="72">
        <v>80</v>
      </c>
      <c r="F116" s="72">
        <v>57</v>
      </c>
      <c r="G116" s="72">
        <v>45</v>
      </c>
    </row>
    <row r="117" spans="2:7">
      <c r="B117" s="64" t="s">
        <v>267</v>
      </c>
      <c r="C117" s="64" t="s">
        <v>197</v>
      </c>
      <c r="D117" s="72">
        <v>47</v>
      </c>
      <c r="E117" s="72">
        <v>33</v>
      </c>
      <c r="F117" s="72">
        <v>22</v>
      </c>
      <c r="G117" s="72">
        <v>17</v>
      </c>
    </row>
    <row r="118" spans="2:7">
      <c r="B118" s="64" t="s">
        <v>268</v>
      </c>
      <c r="C118" s="64" t="s">
        <v>197</v>
      </c>
      <c r="D118" s="72">
        <v>47</v>
      </c>
      <c r="E118" s="72">
        <v>33</v>
      </c>
      <c r="F118" s="72">
        <v>22</v>
      </c>
      <c r="G118" s="72">
        <v>17</v>
      </c>
    </row>
    <row r="119" spans="2:7">
      <c r="B119" s="64" t="s">
        <v>85</v>
      </c>
      <c r="C119" s="64" t="s">
        <v>197</v>
      </c>
      <c r="D119" s="72">
        <v>47</v>
      </c>
      <c r="E119" s="72">
        <v>33</v>
      </c>
      <c r="F119" s="72">
        <v>22</v>
      </c>
      <c r="G119" s="72">
        <v>17</v>
      </c>
    </row>
    <row r="120" spans="2:7">
      <c r="B120" s="64" t="s">
        <v>86</v>
      </c>
      <c r="C120" s="64" t="s">
        <v>197</v>
      </c>
      <c r="D120" s="72">
        <v>47</v>
      </c>
      <c r="E120" s="72">
        <v>33</v>
      </c>
      <c r="F120" s="72">
        <v>22</v>
      </c>
      <c r="G120" s="72">
        <v>17</v>
      </c>
    </row>
    <row r="121" spans="2:7">
      <c r="B121" s="64" t="s">
        <v>269</v>
      </c>
      <c r="C121" s="64" t="s">
        <v>197</v>
      </c>
      <c r="D121" s="72">
        <v>47</v>
      </c>
      <c r="E121" s="72">
        <v>33</v>
      </c>
      <c r="F121" s="72">
        <v>22</v>
      </c>
      <c r="G121" s="72">
        <v>17</v>
      </c>
    </row>
    <row r="122" spans="2:7">
      <c r="B122" s="64" t="s">
        <v>270</v>
      </c>
      <c r="C122" s="64" t="s">
        <v>197</v>
      </c>
      <c r="D122" s="72">
        <v>47</v>
      </c>
      <c r="E122" s="72">
        <v>33</v>
      </c>
      <c r="F122" s="72">
        <v>22</v>
      </c>
      <c r="G122" s="72">
        <v>17</v>
      </c>
    </row>
    <row r="123" spans="2:7">
      <c r="B123" s="64" t="s">
        <v>271</v>
      </c>
      <c r="C123" s="64" t="s">
        <v>197</v>
      </c>
      <c r="D123" s="72">
        <v>47</v>
      </c>
      <c r="E123" s="72">
        <v>33</v>
      </c>
      <c r="F123" s="72">
        <v>22</v>
      </c>
      <c r="G123" s="72">
        <v>17</v>
      </c>
    </row>
    <row r="124" spans="2:7">
      <c r="B124" s="64" t="s">
        <v>272</v>
      </c>
      <c r="C124" s="64" t="s">
        <v>197</v>
      </c>
      <c r="D124" s="72">
        <v>47</v>
      </c>
      <c r="E124" s="72">
        <v>33</v>
      </c>
      <c r="F124" s="72">
        <v>22</v>
      </c>
      <c r="G124" s="72">
        <v>17</v>
      </c>
    </row>
    <row r="125" spans="2:7">
      <c r="B125" s="64" t="s">
        <v>87</v>
      </c>
      <c r="C125" s="64" t="s">
        <v>197</v>
      </c>
      <c r="D125" s="72">
        <v>108</v>
      </c>
      <c r="E125" s="72">
        <v>80</v>
      </c>
      <c r="F125" s="72">
        <v>57</v>
      </c>
      <c r="G125" s="72">
        <v>45</v>
      </c>
    </row>
    <row r="126" spans="2:7">
      <c r="B126" s="64" t="s">
        <v>326</v>
      </c>
      <c r="C126" s="64" t="s">
        <v>197</v>
      </c>
      <c r="D126" s="72">
        <v>77</v>
      </c>
      <c r="E126" s="72">
        <v>57</v>
      </c>
      <c r="F126" s="72">
        <v>40</v>
      </c>
      <c r="G126" s="72">
        <v>32</v>
      </c>
    </row>
    <row r="127" spans="2:7">
      <c r="B127" s="64" t="s">
        <v>88</v>
      </c>
      <c r="C127" s="64" t="s">
        <v>197</v>
      </c>
      <c r="D127" s="72">
        <v>47</v>
      </c>
      <c r="E127" s="72">
        <v>33</v>
      </c>
      <c r="F127" s="72">
        <v>22</v>
      </c>
      <c r="G127" s="72">
        <v>17</v>
      </c>
    </row>
    <row r="128" spans="2:7">
      <c r="B128" s="64" t="s">
        <v>89</v>
      </c>
      <c r="C128" s="64" t="s">
        <v>197</v>
      </c>
      <c r="D128" s="72">
        <v>47</v>
      </c>
      <c r="E128" s="72">
        <v>33</v>
      </c>
      <c r="F128" s="72">
        <v>22</v>
      </c>
      <c r="G128" s="72">
        <v>17</v>
      </c>
    </row>
    <row r="129" spans="2:7">
      <c r="B129" s="64" t="s">
        <v>90</v>
      </c>
      <c r="C129" s="64" t="s">
        <v>197</v>
      </c>
      <c r="D129" s="72">
        <v>108</v>
      </c>
      <c r="E129" s="72">
        <v>80</v>
      </c>
      <c r="F129" s="72">
        <v>57</v>
      </c>
      <c r="G129" s="72">
        <v>45</v>
      </c>
    </row>
    <row r="130" spans="2:7">
      <c r="B130" s="64" t="s">
        <v>91</v>
      </c>
      <c r="C130" s="64" t="s">
        <v>197</v>
      </c>
      <c r="D130" s="72">
        <v>77</v>
      </c>
      <c r="E130" s="72">
        <v>57</v>
      </c>
      <c r="F130" s="72">
        <v>40</v>
      </c>
      <c r="G130" s="72">
        <v>32</v>
      </c>
    </row>
    <row r="131" spans="2:7">
      <c r="B131" s="64" t="s">
        <v>273</v>
      </c>
      <c r="C131" s="64" t="s">
        <v>197</v>
      </c>
      <c r="D131" s="72">
        <v>77</v>
      </c>
      <c r="E131" s="72">
        <v>57</v>
      </c>
      <c r="F131" s="72">
        <v>40</v>
      </c>
      <c r="G131" s="72">
        <v>32</v>
      </c>
    </row>
    <row r="132" spans="2:7">
      <c r="B132" s="64" t="s">
        <v>274</v>
      </c>
      <c r="C132" s="64" t="s">
        <v>197</v>
      </c>
      <c r="D132" s="72">
        <v>47</v>
      </c>
      <c r="E132" s="72">
        <v>33</v>
      </c>
      <c r="F132" s="72">
        <v>22</v>
      </c>
      <c r="G132" s="72">
        <v>17</v>
      </c>
    </row>
    <row r="133" spans="2:7">
      <c r="B133" s="64" t="s">
        <v>275</v>
      </c>
      <c r="C133" s="64" t="s">
        <v>197</v>
      </c>
      <c r="D133" s="72">
        <v>77</v>
      </c>
      <c r="E133" s="72">
        <v>57</v>
      </c>
      <c r="F133" s="72">
        <v>40</v>
      </c>
      <c r="G133" s="72">
        <v>32</v>
      </c>
    </row>
    <row r="134" spans="2:7">
      <c r="B134" s="64" t="s">
        <v>276</v>
      </c>
      <c r="C134" s="64" t="s">
        <v>197</v>
      </c>
      <c r="D134" s="72">
        <v>47</v>
      </c>
      <c r="E134" s="72">
        <v>33</v>
      </c>
      <c r="F134" s="72">
        <v>22</v>
      </c>
      <c r="G134" s="72">
        <v>17</v>
      </c>
    </row>
    <row r="135" spans="2:7">
      <c r="B135" s="64" t="s">
        <v>92</v>
      </c>
      <c r="C135" s="64" t="s">
        <v>197</v>
      </c>
      <c r="D135" s="72">
        <v>47</v>
      </c>
      <c r="E135" s="72">
        <v>33</v>
      </c>
      <c r="F135" s="72">
        <v>22</v>
      </c>
      <c r="G135" s="72">
        <v>17</v>
      </c>
    </row>
    <row r="136" spans="2:7">
      <c r="B136" s="64" t="s">
        <v>93</v>
      </c>
      <c r="C136" s="64" t="s">
        <v>197</v>
      </c>
      <c r="D136" s="72">
        <v>47</v>
      </c>
      <c r="E136" s="72">
        <v>33</v>
      </c>
      <c r="F136" s="72">
        <v>22</v>
      </c>
      <c r="G136" s="72">
        <v>17</v>
      </c>
    </row>
    <row r="137" spans="2:7">
      <c r="B137" s="64" t="s">
        <v>277</v>
      </c>
      <c r="C137" s="64" t="s">
        <v>197</v>
      </c>
      <c r="D137" s="72">
        <v>47</v>
      </c>
      <c r="E137" s="72">
        <v>33</v>
      </c>
      <c r="F137" s="72">
        <v>22</v>
      </c>
      <c r="G137" s="72">
        <v>17</v>
      </c>
    </row>
    <row r="138" spans="2:7">
      <c r="B138" s="64" t="s">
        <v>278</v>
      </c>
      <c r="C138" s="64" t="s">
        <v>197</v>
      </c>
      <c r="D138" s="72">
        <v>108</v>
      </c>
      <c r="E138" s="72">
        <v>80</v>
      </c>
      <c r="F138" s="72">
        <v>57</v>
      </c>
      <c r="G138" s="72">
        <v>45</v>
      </c>
    </row>
    <row r="139" spans="2:7">
      <c r="B139" s="64" t="s">
        <v>279</v>
      </c>
      <c r="C139" s="64" t="s">
        <v>197</v>
      </c>
      <c r="D139" s="72">
        <v>47</v>
      </c>
      <c r="E139" s="72">
        <v>33</v>
      </c>
      <c r="F139" s="72">
        <v>22</v>
      </c>
      <c r="G139" s="72">
        <v>17</v>
      </c>
    </row>
    <row r="140" spans="2:7">
      <c r="B140" s="64" t="s">
        <v>94</v>
      </c>
      <c r="C140" s="64" t="s">
        <v>197</v>
      </c>
      <c r="D140" s="72">
        <v>47</v>
      </c>
      <c r="E140" s="72">
        <v>33</v>
      </c>
      <c r="F140" s="72">
        <v>22</v>
      </c>
      <c r="G140" s="72">
        <v>17</v>
      </c>
    </row>
    <row r="141" spans="2:7">
      <c r="B141" s="64" t="s">
        <v>280</v>
      </c>
      <c r="C141" s="64" t="s">
        <v>197</v>
      </c>
      <c r="D141" s="72">
        <v>47</v>
      </c>
      <c r="E141" s="72">
        <v>33</v>
      </c>
      <c r="F141" s="72">
        <v>22</v>
      </c>
      <c r="G141" s="72">
        <v>17</v>
      </c>
    </row>
    <row r="142" spans="2:7">
      <c r="B142" s="64" t="s">
        <v>167</v>
      </c>
      <c r="C142" s="64" t="s">
        <v>197</v>
      </c>
      <c r="D142" s="72">
        <v>77</v>
      </c>
      <c r="E142" s="72">
        <v>57</v>
      </c>
      <c r="F142" s="72">
        <v>40</v>
      </c>
      <c r="G142" s="72">
        <v>32</v>
      </c>
    </row>
    <row r="143" spans="2:7">
      <c r="B143" s="64" t="s">
        <v>95</v>
      </c>
      <c r="C143" s="64" t="s">
        <v>197</v>
      </c>
      <c r="D143" s="72">
        <v>77</v>
      </c>
      <c r="E143" s="72">
        <v>57</v>
      </c>
      <c r="F143" s="72">
        <v>40</v>
      </c>
      <c r="G143" s="72">
        <v>32</v>
      </c>
    </row>
    <row r="144" spans="2:7">
      <c r="B144" s="64" t="s">
        <v>281</v>
      </c>
      <c r="C144" s="64" t="s">
        <v>197</v>
      </c>
      <c r="D144" s="72">
        <v>77</v>
      </c>
      <c r="E144" s="72">
        <v>57</v>
      </c>
      <c r="F144" s="72">
        <v>40</v>
      </c>
      <c r="G144" s="72">
        <v>32</v>
      </c>
    </row>
    <row r="145" spans="2:7">
      <c r="B145" s="64" t="s">
        <v>96</v>
      </c>
      <c r="C145" s="64" t="s">
        <v>197</v>
      </c>
      <c r="D145" s="72">
        <v>77</v>
      </c>
      <c r="E145" s="72">
        <v>57</v>
      </c>
      <c r="F145" s="72">
        <v>40</v>
      </c>
      <c r="G145" s="72">
        <v>32</v>
      </c>
    </row>
    <row r="146" spans="2:7">
      <c r="B146" s="64" t="s">
        <v>135</v>
      </c>
      <c r="C146" s="64" t="s">
        <v>197</v>
      </c>
      <c r="D146" s="72">
        <v>108</v>
      </c>
      <c r="E146" s="72">
        <v>80</v>
      </c>
      <c r="F146" s="72">
        <v>57</v>
      </c>
      <c r="G146" s="72">
        <v>45</v>
      </c>
    </row>
    <row r="147" spans="2:7">
      <c r="B147" s="64" t="s">
        <v>97</v>
      </c>
      <c r="C147" s="64" t="s">
        <v>197</v>
      </c>
      <c r="D147" s="72">
        <v>47</v>
      </c>
      <c r="E147" s="72">
        <v>33</v>
      </c>
      <c r="F147" s="72">
        <v>22</v>
      </c>
      <c r="G147" s="72">
        <v>17</v>
      </c>
    </row>
    <row r="148" spans="2:7">
      <c r="B148" s="64" t="s">
        <v>181</v>
      </c>
      <c r="C148" s="64" t="s">
        <v>197</v>
      </c>
      <c r="D148" s="72">
        <v>77</v>
      </c>
      <c r="E148" s="72">
        <v>57</v>
      </c>
      <c r="F148" s="72">
        <v>40</v>
      </c>
      <c r="G148" s="72">
        <v>32</v>
      </c>
    </row>
    <row r="149" spans="2:7">
      <c r="B149" s="64" t="s">
        <v>282</v>
      </c>
      <c r="C149" s="64" t="s">
        <v>197</v>
      </c>
      <c r="D149" s="72">
        <v>47</v>
      </c>
      <c r="E149" s="72">
        <v>33</v>
      </c>
      <c r="F149" s="72">
        <v>22</v>
      </c>
      <c r="G149" s="72">
        <v>17</v>
      </c>
    </row>
    <row r="150" spans="2:7">
      <c r="B150" s="64" t="s">
        <v>283</v>
      </c>
      <c r="C150" s="64" t="s">
        <v>197</v>
      </c>
      <c r="D150" s="72">
        <v>108</v>
      </c>
      <c r="E150" s="72">
        <v>80</v>
      </c>
      <c r="F150" s="72">
        <v>57</v>
      </c>
      <c r="G150" s="72">
        <v>45</v>
      </c>
    </row>
    <row r="151" spans="2:7">
      <c r="B151" s="64" t="s">
        <v>317</v>
      </c>
      <c r="C151" s="64" t="s">
        <v>197</v>
      </c>
      <c r="D151" s="72">
        <v>108</v>
      </c>
      <c r="E151" s="72">
        <v>80</v>
      </c>
      <c r="F151" s="72">
        <v>57</v>
      </c>
      <c r="G151" s="72">
        <v>45</v>
      </c>
    </row>
    <row r="152" spans="2:7">
      <c r="B152" s="64" t="s">
        <v>284</v>
      </c>
      <c r="C152" s="64" t="s">
        <v>197</v>
      </c>
      <c r="D152" s="72">
        <v>108</v>
      </c>
      <c r="E152" s="72">
        <v>80</v>
      </c>
      <c r="F152" s="72">
        <v>57</v>
      </c>
      <c r="G152" s="72">
        <v>45</v>
      </c>
    </row>
    <row r="153" spans="2:7">
      <c r="B153" s="64" t="s">
        <v>285</v>
      </c>
      <c r="C153" s="64" t="s">
        <v>197</v>
      </c>
      <c r="D153" s="72">
        <v>47</v>
      </c>
      <c r="E153" s="72">
        <v>33</v>
      </c>
      <c r="F153" s="72">
        <v>22</v>
      </c>
      <c r="G153" s="72">
        <v>17</v>
      </c>
    </row>
    <row r="154" spans="2:7">
      <c r="B154" s="64" t="s">
        <v>286</v>
      </c>
      <c r="C154" s="64" t="s">
        <v>197</v>
      </c>
      <c r="D154" s="72">
        <v>108</v>
      </c>
      <c r="E154" s="72">
        <v>80</v>
      </c>
      <c r="F154" s="72">
        <v>57</v>
      </c>
      <c r="G154" s="72">
        <v>45</v>
      </c>
    </row>
    <row r="155" spans="2:7">
      <c r="B155" s="64" t="s">
        <v>287</v>
      </c>
      <c r="C155" s="64" t="s">
        <v>197</v>
      </c>
      <c r="D155" s="72">
        <v>77</v>
      </c>
      <c r="E155" s="72">
        <v>57</v>
      </c>
      <c r="F155" s="72">
        <v>40</v>
      </c>
      <c r="G155" s="72">
        <v>32</v>
      </c>
    </row>
    <row r="156" spans="2:7">
      <c r="B156" s="64" t="s">
        <v>288</v>
      </c>
      <c r="C156" s="64" t="s">
        <v>197</v>
      </c>
      <c r="D156" s="72">
        <v>108</v>
      </c>
      <c r="E156" s="72">
        <v>80</v>
      </c>
      <c r="F156" s="72">
        <v>57</v>
      </c>
      <c r="G156" s="72">
        <v>45</v>
      </c>
    </row>
    <row r="157" spans="2:7">
      <c r="B157" s="64" t="s">
        <v>289</v>
      </c>
      <c r="C157" s="64" t="s">
        <v>197</v>
      </c>
      <c r="D157" s="72">
        <v>47</v>
      </c>
      <c r="E157" s="72">
        <v>33</v>
      </c>
      <c r="F157" s="72">
        <v>22</v>
      </c>
      <c r="G157" s="72">
        <v>17</v>
      </c>
    </row>
    <row r="158" spans="2:7">
      <c r="B158" s="64" t="s">
        <v>322</v>
      </c>
      <c r="C158" s="64" t="s">
        <v>197</v>
      </c>
      <c r="D158" s="72">
        <v>47</v>
      </c>
      <c r="E158" s="72">
        <v>33</v>
      </c>
      <c r="F158" s="72">
        <v>22</v>
      </c>
      <c r="G158" s="72">
        <v>17</v>
      </c>
    </row>
    <row r="159" spans="2:7">
      <c r="B159" s="64" t="s">
        <v>290</v>
      </c>
      <c r="C159" s="64" t="s">
        <v>197</v>
      </c>
      <c r="D159" s="72">
        <v>47</v>
      </c>
      <c r="E159" s="72">
        <v>33</v>
      </c>
      <c r="F159" s="72">
        <v>22</v>
      </c>
      <c r="G159" s="72">
        <v>17</v>
      </c>
    </row>
    <row r="160" spans="2:7">
      <c r="B160" s="64" t="s">
        <v>99</v>
      </c>
      <c r="C160" s="64" t="s">
        <v>197</v>
      </c>
      <c r="D160" s="72">
        <v>77</v>
      </c>
      <c r="E160" s="72">
        <v>57</v>
      </c>
      <c r="F160" s="72">
        <v>40</v>
      </c>
      <c r="G160" s="72">
        <v>32</v>
      </c>
    </row>
    <row r="161" spans="2:7">
      <c r="B161" s="64" t="s">
        <v>291</v>
      </c>
      <c r="C161" s="64" t="s">
        <v>197</v>
      </c>
      <c r="D161" s="72">
        <v>47</v>
      </c>
      <c r="E161" s="72">
        <v>33</v>
      </c>
      <c r="F161" s="72">
        <v>22</v>
      </c>
      <c r="G161" s="72">
        <v>17</v>
      </c>
    </row>
    <row r="162" spans="2:7">
      <c r="B162" s="64" t="s">
        <v>309</v>
      </c>
      <c r="C162" s="64" t="s">
        <v>197</v>
      </c>
      <c r="D162" s="72">
        <v>47</v>
      </c>
      <c r="E162" s="72">
        <v>33</v>
      </c>
      <c r="F162" s="72">
        <v>22</v>
      </c>
      <c r="G162" s="72">
        <v>17</v>
      </c>
    </row>
    <row r="163" spans="2:7">
      <c r="B163" s="64" t="s">
        <v>292</v>
      </c>
      <c r="C163" s="64" t="s">
        <v>197</v>
      </c>
      <c r="D163" s="72">
        <v>47</v>
      </c>
      <c r="E163" s="72">
        <v>33</v>
      </c>
      <c r="F163" s="72">
        <v>22</v>
      </c>
      <c r="G163" s="72">
        <v>17</v>
      </c>
    </row>
    <row r="164" spans="2:7">
      <c r="B164" s="64" t="s">
        <v>323</v>
      </c>
      <c r="C164" s="64" t="s">
        <v>197</v>
      </c>
      <c r="D164" s="72">
        <v>77</v>
      </c>
      <c r="E164" s="72">
        <v>57</v>
      </c>
      <c r="F164" s="72">
        <v>40</v>
      </c>
      <c r="G164" s="72">
        <v>32</v>
      </c>
    </row>
    <row r="165" spans="2:7">
      <c r="B165" s="64" t="s">
        <v>353</v>
      </c>
      <c r="C165" s="64" t="s">
        <v>197</v>
      </c>
      <c r="D165" s="72">
        <v>77</v>
      </c>
      <c r="E165" s="72">
        <v>57</v>
      </c>
      <c r="F165" s="72">
        <v>40</v>
      </c>
      <c r="G165" s="72">
        <v>32</v>
      </c>
    </row>
    <row r="166" spans="2:7">
      <c r="B166" s="64" t="s">
        <v>100</v>
      </c>
      <c r="C166" s="64" t="s">
        <v>197</v>
      </c>
      <c r="D166" s="72">
        <v>47</v>
      </c>
      <c r="E166" s="72">
        <v>33</v>
      </c>
      <c r="F166" s="72">
        <v>22</v>
      </c>
      <c r="G166" s="72">
        <v>17</v>
      </c>
    </row>
    <row r="167" spans="2:7">
      <c r="B167" s="64" t="s">
        <v>101</v>
      </c>
      <c r="C167" s="64" t="s">
        <v>197</v>
      </c>
      <c r="D167" s="72">
        <v>47</v>
      </c>
      <c r="E167" s="72">
        <v>33</v>
      </c>
      <c r="F167" s="72">
        <v>22</v>
      </c>
      <c r="G167" s="72">
        <v>17</v>
      </c>
    </row>
    <row r="168" spans="2:7">
      <c r="B168" s="64" t="s">
        <v>293</v>
      </c>
      <c r="C168" s="64" t="s">
        <v>197</v>
      </c>
      <c r="D168" s="72">
        <v>47</v>
      </c>
      <c r="E168" s="72">
        <v>33</v>
      </c>
      <c r="F168" s="72">
        <v>22</v>
      </c>
      <c r="G168" s="72">
        <v>17</v>
      </c>
    </row>
    <row r="169" spans="2:7">
      <c r="B169" s="64" t="s">
        <v>102</v>
      </c>
      <c r="C169" s="64" t="s">
        <v>197</v>
      </c>
      <c r="D169" s="72">
        <v>108</v>
      </c>
      <c r="E169" s="72">
        <v>80</v>
      </c>
      <c r="F169" s="72">
        <v>57</v>
      </c>
      <c r="G169" s="72">
        <v>45</v>
      </c>
    </row>
    <row r="170" spans="2:7">
      <c r="B170" s="64" t="s">
        <v>327</v>
      </c>
      <c r="C170" s="64" t="s">
        <v>197</v>
      </c>
      <c r="D170" s="72">
        <v>47</v>
      </c>
      <c r="E170" s="72">
        <v>33</v>
      </c>
      <c r="F170" s="72">
        <v>22</v>
      </c>
      <c r="G170" s="72">
        <v>17</v>
      </c>
    </row>
    <row r="171" spans="2:7">
      <c r="B171" s="64" t="s">
        <v>294</v>
      </c>
      <c r="C171" s="64" t="s">
        <v>197</v>
      </c>
      <c r="D171" s="72">
        <v>47</v>
      </c>
      <c r="E171" s="72">
        <v>33</v>
      </c>
      <c r="F171" s="72">
        <v>22</v>
      </c>
      <c r="G171" s="72">
        <v>17</v>
      </c>
    </row>
    <row r="172" spans="2:7">
      <c r="B172" s="64" t="s">
        <v>295</v>
      </c>
      <c r="C172" s="64" t="s">
        <v>197</v>
      </c>
      <c r="D172" s="72">
        <v>47</v>
      </c>
      <c r="E172" s="72">
        <v>33</v>
      </c>
      <c r="F172" s="72">
        <v>22</v>
      </c>
      <c r="G172" s="72">
        <v>17</v>
      </c>
    </row>
    <row r="173" spans="2:7">
      <c r="B173" s="64" t="s">
        <v>296</v>
      </c>
      <c r="C173" s="64" t="s">
        <v>197</v>
      </c>
      <c r="D173" s="72">
        <v>77</v>
      </c>
      <c r="E173" s="72">
        <v>57</v>
      </c>
      <c r="F173" s="72">
        <v>40</v>
      </c>
      <c r="G173" s="72">
        <v>32</v>
      </c>
    </row>
    <row r="174" spans="2:7">
      <c r="B174" s="64" t="s">
        <v>103</v>
      </c>
      <c r="C174" s="64" t="s">
        <v>197</v>
      </c>
      <c r="D174" s="72">
        <v>47</v>
      </c>
      <c r="E174" s="72">
        <v>33</v>
      </c>
      <c r="F174" s="72">
        <v>22</v>
      </c>
      <c r="G174" s="72">
        <v>17</v>
      </c>
    </row>
    <row r="175" spans="2:7">
      <c r="B175" s="64" t="s">
        <v>104</v>
      </c>
      <c r="C175" s="64" t="s">
        <v>197</v>
      </c>
      <c r="D175" s="72">
        <v>47</v>
      </c>
      <c r="E175" s="72">
        <v>33</v>
      </c>
      <c r="F175" s="72">
        <v>22</v>
      </c>
      <c r="G175" s="72">
        <v>17</v>
      </c>
    </row>
    <row r="176" spans="2:7">
      <c r="B176" s="64" t="s">
        <v>297</v>
      </c>
      <c r="C176" s="64" t="s">
        <v>197</v>
      </c>
      <c r="D176" s="72">
        <v>47</v>
      </c>
      <c r="E176" s="72">
        <v>33</v>
      </c>
      <c r="F176" s="72">
        <v>22</v>
      </c>
      <c r="G176" s="72">
        <v>17</v>
      </c>
    </row>
    <row r="177" spans="2:7">
      <c r="B177" s="64" t="s">
        <v>298</v>
      </c>
      <c r="C177" s="64" t="s">
        <v>197</v>
      </c>
      <c r="D177" s="72">
        <v>47</v>
      </c>
      <c r="E177" s="72">
        <v>33</v>
      </c>
      <c r="F177" s="72">
        <v>22</v>
      </c>
      <c r="G177" s="72">
        <v>17</v>
      </c>
    </row>
    <row r="178" spans="2:7">
      <c r="B178" s="64" t="s">
        <v>180</v>
      </c>
      <c r="C178" s="64" t="s">
        <v>197</v>
      </c>
      <c r="D178" s="72">
        <v>108</v>
      </c>
      <c r="E178" s="72">
        <v>80</v>
      </c>
      <c r="F178" s="72">
        <v>57</v>
      </c>
      <c r="G178" s="72">
        <v>45</v>
      </c>
    </row>
    <row r="179" spans="2:7">
      <c r="B179" s="64" t="s">
        <v>350</v>
      </c>
      <c r="C179" s="64" t="s">
        <v>197</v>
      </c>
      <c r="D179" s="72">
        <v>108</v>
      </c>
      <c r="E179" s="72">
        <v>80</v>
      </c>
      <c r="F179" s="72">
        <v>57</v>
      </c>
      <c r="G179" s="72">
        <v>45</v>
      </c>
    </row>
    <row r="180" spans="2:7">
      <c r="B180" s="64" t="s">
        <v>105</v>
      </c>
      <c r="C180" s="64" t="s">
        <v>197</v>
      </c>
      <c r="D180" s="72">
        <v>47</v>
      </c>
      <c r="E180" s="72">
        <v>33</v>
      </c>
      <c r="F180" s="72">
        <v>22</v>
      </c>
      <c r="G180" s="72">
        <v>17</v>
      </c>
    </row>
    <row r="181" spans="2:7">
      <c r="B181" s="64" t="s">
        <v>299</v>
      </c>
      <c r="C181" s="64" t="s">
        <v>197</v>
      </c>
      <c r="D181" s="72">
        <v>77</v>
      </c>
      <c r="E181" s="72">
        <v>57</v>
      </c>
      <c r="F181" s="72">
        <v>40</v>
      </c>
      <c r="G181" s="72">
        <v>32</v>
      </c>
    </row>
    <row r="182" spans="2:7">
      <c r="B182" s="64" t="s">
        <v>106</v>
      </c>
      <c r="C182" s="64" t="s">
        <v>197</v>
      </c>
      <c r="D182" s="72">
        <v>108</v>
      </c>
      <c r="E182" s="72">
        <v>80</v>
      </c>
      <c r="F182" s="72">
        <v>57</v>
      </c>
      <c r="G182" s="72">
        <v>45</v>
      </c>
    </row>
    <row r="183" spans="2:7">
      <c r="B183" s="64" t="s">
        <v>107</v>
      </c>
      <c r="C183" s="64" t="s">
        <v>197</v>
      </c>
      <c r="D183" s="72">
        <v>47</v>
      </c>
      <c r="E183" s="72">
        <v>33</v>
      </c>
      <c r="F183" s="72">
        <v>22</v>
      </c>
      <c r="G183" s="72">
        <v>17</v>
      </c>
    </row>
    <row r="184" spans="2:7">
      <c r="B184" s="64" t="s">
        <v>108</v>
      </c>
      <c r="C184" s="64" t="s">
        <v>197</v>
      </c>
      <c r="D184" s="72">
        <v>47</v>
      </c>
      <c r="E184" s="72">
        <v>33</v>
      </c>
      <c r="F184" s="72">
        <v>22</v>
      </c>
      <c r="G184" s="72">
        <v>17</v>
      </c>
    </row>
    <row r="185" spans="2:7">
      <c r="B185" s="64" t="s">
        <v>300</v>
      </c>
      <c r="C185" s="64" t="s">
        <v>197</v>
      </c>
      <c r="D185" s="72">
        <v>108</v>
      </c>
      <c r="E185" s="72">
        <v>80</v>
      </c>
      <c r="F185" s="72">
        <v>57</v>
      </c>
      <c r="G185" s="72">
        <v>45</v>
      </c>
    </row>
    <row r="186" spans="2:7">
      <c r="B186" s="64" t="s">
        <v>301</v>
      </c>
      <c r="C186" s="64" t="s">
        <v>197</v>
      </c>
      <c r="D186" s="72">
        <v>108</v>
      </c>
      <c r="E186" s="72">
        <v>80</v>
      </c>
      <c r="F186" s="72">
        <v>57</v>
      </c>
      <c r="G186" s="72">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2024-06-03T10:41:42Z</dcterms:modified>
</cp:coreProperties>
</file>